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trabalho\publicacoes\_new_pore_model\material\data_fit\"/>
    </mc:Choice>
  </mc:AlternateContent>
  <xr:revisionPtr revIDLastSave="0" documentId="13_ncr:1_{36125BBA-4F23-43AD-AA7B-698A437029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" i="1" l="1"/>
  <c r="P20" i="1"/>
  <c r="Q21" i="1" s="1"/>
  <c r="U7" i="1" s="1"/>
  <c r="J5" i="1"/>
  <c r="J6" i="1"/>
  <c r="J7" i="1"/>
  <c r="J8" i="1"/>
  <c r="J9" i="1"/>
  <c r="J10" i="1"/>
  <c r="J11" i="1"/>
  <c r="J12" i="1"/>
  <c r="J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4" i="1"/>
  <c r="P9" i="1" l="1"/>
  <c r="P8" i="1"/>
  <c r="P7" i="1"/>
  <c r="P12" i="1"/>
  <c r="P6" i="1"/>
  <c r="U6" i="1"/>
  <c r="P13" i="1"/>
  <c r="P11" i="1"/>
  <c r="U8" i="1"/>
  <c r="P5" i="1"/>
  <c r="P10" i="1"/>
  <c r="U9" i="1"/>
</calcChain>
</file>

<file path=xl/sharedStrings.xml><?xml version="1.0" encoding="utf-8"?>
<sst xmlns="http://schemas.openxmlformats.org/spreadsheetml/2006/main" count="19" uniqueCount="8">
  <si>
    <t>code</t>
  </si>
  <si>
    <t>preshead</t>
  </si>
  <si>
    <t>theta</t>
  </si>
  <si>
    <t>drying</t>
  </si>
  <si>
    <t>wetting</t>
  </si>
  <si>
    <t>conductivity</t>
  </si>
  <si>
    <t>h_m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</si>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</sst>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2" borderId="0" xfId="1" applyFont="1" applyFill="1" applyAlignment="1">
      <alignment horizontal="center"/>
    </xf>
    <xf numFmtId="0" fontId="1" fillId="0" borderId="0" xfId="1" applyFont="1" applyAlignment="1">
      <alignment wrapText="1"/>
    </xf>
  </cellXfs>
  <cellStyles count="2">
    <cellStyle name="Normal" xfId="0" builtinId="0"/>
    <cellStyle name="Normal_Sheet1" xfId="1" xr:uid="{D480D6EF-2446-4C4A-BA05-730D0E6506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9"/>
  <sheetViews>
    <sheetView tabSelected="1" workbookViewId="0">
      <selection activeCell="L23" sqref="L23"/>
    </sheetView>
  </sheetViews>
  <sheetFormatPr defaultRowHeight="15" x14ac:dyDescent="0.25"/>
  <cols>
    <col min="14" max="14" width="18.42578125" customWidth="1"/>
    <col min="16" max="16" width="11.28515625" bestFit="1" customWidth="1"/>
    <col min="21" max="21" width="12" bestFit="1" customWidth="1"/>
  </cols>
  <sheetData>
    <row r="1" spans="2:21" x14ac:dyDescent="0.25">
      <c r="E1">
        <v>100</v>
      </c>
    </row>
    <row r="2" spans="2:21" x14ac:dyDescent="0.25">
      <c r="B2" t="s">
        <v>3</v>
      </c>
      <c r="G2" t="s">
        <v>4</v>
      </c>
    </row>
    <row r="3" spans="2:21" x14ac:dyDescent="0.25">
      <c r="B3" s="1" t="s">
        <v>0</v>
      </c>
      <c r="C3" s="1" t="s">
        <v>1</v>
      </c>
      <c r="D3" s="1" t="s">
        <v>2</v>
      </c>
      <c r="E3" s="4" t="s">
        <v>6</v>
      </c>
      <c r="G3" s="1" t="s">
        <v>0</v>
      </c>
      <c r="H3" s="1" t="s">
        <v>1</v>
      </c>
      <c r="I3" s="1" t="s">
        <v>2</v>
      </c>
      <c r="J3" s="4" t="s">
        <v>6</v>
      </c>
      <c r="L3" s="4" t="s">
        <v>3</v>
      </c>
    </row>
    <row r="4" spans="2:21" x14ac:dyDescent="0.25">
      <c r="B4" s="2">
        <v>1300</v>
      </c>
      <c r="C4" s="3">
        <v>213</v>
      </c>
      <c r="D4" s="3">
        <v>0.246</v>
      </c>
      <c r="E4" s="5">
        <f>C4/$E$1</f>
        <v>2.13</v>
      </c>
      <c r="G4" s="2">
        <v>1300</v>
      </c>
      <c r="H4" s="3">
        <v>50</v>
      </c>
      <c r="I4" s="3">
        <v>0.28999999999999998</v>
      </c>
      <c r="J4" s="5">
        <f>H4/$E$1</f>
        <v>0.5</v>
      </c>
      <c r="L4" s="1" t="s">
        <v>0</v>
      </c>
      <c r="M4" s="1" t="s">
        <v>2</v>
      </c>
      <c r="N4" s="1"/>
      <c r="O4" s="1" t="s">
        <v>5</v>
      </c>
      <c r="P4" s="4" t="s">
        <v>7</v>
      </c>
      <c r="R4" s="4" t="s">
        <v>4</v>
      </c>
    </row>
    <row r="5" spans="2:21" x14ac:dyDescent="0.25">
      <c r="B5" s="2">
        <v>1300</v>
      </c>
      <c r="C5" s="3">
        <v>194</v>
      </c>
      <c r="D5" s="3">
        <v>0.254</v>
      </c>
      <c r="E5" s="5">
        <f t="shared" ref="E5:E29" si="0">C5/$E$1</f>
        <v>1.94</v>
      </c>
      <c r="G5" s="2">
        <v>1300</v>
      </c>
      <c r="H5" s="3">
        <v>35</v>
      </c>
      <c r="I5" s="3">
        <v>0.32700000000000001</v>
      </c>
      <c r="J5" s="5">
        <f t="shared" ref="J5:J12" si="1">H5/$E$1</f>
        <v>0.35</v>
      </c>
      <c r="L5" s="2">
        <v>1300</v>
      </c>
      <c r="M5" s="3">
        <v>0.38</v>
      </c>
      <c r="N5" s="5">
        <v>1.111111111111111E-6</v>
      </c>
      <c r="O5" s="3">
        <v>9.6</v>
      </c>
      <c r="P5" s="5">
        <f>O5/$Q$21</f>
        <v>1.111111111111111E-6</v>
      </c>
      <c r="R5" s="1" t="s">
        <v>0</v>
      </c>
      <c r="S5" s="1" t="s">
        <v>2</v>
      </c>
      <c r="T5" s="1" t="s">
        <v>5</v>
      </c>
    </row>
    <row r="6" spans="2:21" x14ac:dyDescent="0.25">
      <c r="B6" s="2">
        <v>1300</v>
      </c>
      <c r="C6" s="3">
        <v>162</v>
      </c>
      <c r="D6" s="3">
        <v>0.25800000000000001</v>
      </c>
      <c r="E6" s="5">
        <f t="shared" si="0"/>
        <v>1.62</v>
      </c>
      <c r="G6" s="2">
        <v>1300</v>
      </c>
      <c r="H6" s="3">
        <v>27</v>
      </c>
      <c r="I6" s="3">
        <v>0.32700000000000001</v>
      </c>
      <c r="J6" s="5">
        <f t="shared" si="1"/>
        <v>0.27</v>
      </c>
      <c r="L6" s="2">
        <v>1300</v>
      </c>
      <c r="M6" s="3">
        <v>0.37</v>
      </c>
      <c r="N6" s="5">
        <v>3.333333333333333E-7</v>
      </c>
      <c r="O6" s="3">
        <v>2.88</v>
      </c>
      <c r="P6" s="5">
        <f t="shared" ref="N6:P13" si="2">O6/$Q$21</f>
        <v>3.333333333333333E-7</v>
      </c>
      <c r="R6" s="2">
        <v>1300</v>
      </c>
      <c r="S6" s="3">
        <v>0.38</v>
      </c>
      <c r="T6" s="3">
        <v>16.8</v>
      </c>
      <c r="U6">
        <f>T6/$Q$21</f>
        <v>1.9444444444444444E-6</v>
      </c>
    </row>
    <row r="7" spans="2:21" x14ac:dyDescent="0.25">
      <c r="B7" s="2">
        <v>1300</v>
      </c>
      <c r="C7" s="3">
        <v>104</v>
      </c>
      <c r="D7" s="3">
        <v>0.28299999999999997</v>
      </c>
      <c r="E7" s="5">
        <f t="shared" si="0"/>
        <v>1.04</v>
      </c>
      <c r="G7" s="2">
        <v>1300</v>
      </c>
      <c r="H7" s="3">
        <v>25</v>
      </c>
      <c r="I7" s="3">
        <v>0.33300000000000002</v>
      </c>
      <c r="J7" s="5">
        <f t="shared" si="1"/>
        <v>0.25</v>
      </c>
      <c r="L7" s="2">
        <v>1300</v>
      </c>
      <c r="M7" s="3">
        <v>0.36499999999999999</v>
      </c>
      <c r="N7" s="5">
        <v>1.5555555555555556E-7</v>
      </c>
      <c r="O7" s="3">
        <v>1.3440000000000001</v>
      </c>
      <c r="P7" s="5">
        <f t="shared" si="2"/>
        <v>1.5555555555555556E-7</v>
      </c>
      <c r="R7" s="2">
        <v>1300</v>
      </c>
      <c r="S7" s="3">
        <v>0.37</v>
      </c>
      <c r="T7" s="3">
        <v>13.44</v>
      </c>
      <c r="U7">
        <f t="shared" ref="U7:U9" si="3">T7/$Q$21</f>
        <v>1.5555555555555556E-6</v>
      </c>
    </row>
    <row r="8" spans="2:21" x14ac:dyDescent="0.25">
      <c r="B8" s="2">
        <v>1300</v>
      </c>
      <c r="C8" s="3">
        <v>105</v>
      </c>
      <c r="D8" s="3">
        <v>0.29199999999999998</v>
      </c>
      <c r="E8" s="5">
        <f t="shared" si="0"/>
        <v>1.05</v>
      </c>
      <c r="G8" s="2">
        <v>1300</v>
      </c>
      <c r="H8" s="3">
        <v>18</v>
      </c>
      <c r="I8" s="3">
        <v>0.34200000000000003</v>
      </c>
      <c r="J8" s="5">
        <f t="shared" si="1"/>
        <v>0.18</v>
      </c>
      <c r="L8" s="2">
        <v>1300</v>
      </c>
      <c r="M8" s="3">
        <v>0.35</v>
      </c>
      <c r="N8" s="5">
        <v>5.5555555555555555E-8</v>
      </c>
      <c r="O8" s="3">
        <v>0.48</v>
      </c>
      <c r="P8" s="5">
        <f t="shared" si="2"/>
        <v>5.5555555555555555E-8</v>
      </c>
      <c r="R8" s="2">
        <v>1300</v>
      </c>
      <c r="S8" s="3">
        <v>0.35</v>
      </c>
      <c r="T8" s="3">
        <v>4.8</v>
      </c>
      <c r="U8">
        <f t="shared" si="3"/>
        <v>5.5555555555555552E-7</v>
      </c>
    </row>
    <row r="9" spans="2:21" x14ac:dyDescent="0.25">
      <c r="B9" s="2">
        <v>1300</v>
      </c>
      <c r="C9" s="3">
        <v>97</v>
      </c>
      <c r="D9" s="3">
        <v>0.29499999999999998</v>
      </c>
      <c r="E9" s="5">
        <f t="shared" si="0"/>
        <v>0.97</v>
      </c>
      <c r="G9" s="2">
        <v>1300</v>
      </c>
      <c r="H9" s="3">
        <v>17</v>
      </c>
      <c r="I9" s="3">
        <v>0.35499999999999998</v>
      </c>
      <c r="J9" s="5">
        <f t="shared" si="1"/>
        <v>0.17</v>
      </c>
      <c r="L9" s="2">
        <v>1300</v>
      </c>
      <c r="M9" s="3">
        <v>0.32</v>
      </c>
      <c r="N9" s="5">
        <v>2.138888888888889E-8</v>
      </c>
      <c r="O9" s="3">
        <v>0.18479999999999999</v>
      </c>
      <c r="P9" s="5">
        <f t="shared" si="2"/>
        <v>2.138888888888889E-8</v>
      </c>
      <c r="R9" s="2">
        <v>1300</v>
      </c>
      <c r="S9" s="3">
        <v>0.34499999999999997</v>
      </c>
      <c r="T9" s="3">
        <v>2.16</v>
      </c>
      <c r="U9">
        <f t="shared" si="3"/>
        <v>2.5000000000000004E-7</v>
      </c>
    </row>
    <row r="10" spans="2:21" x14ac:dyDescent="0.25">
      <c r="B10" s="2">
        <v>1300</v>
      </c>
      <c r="C10" s="3">
        <v>88</v>
      </c>
      <c r="D10" s="3">
        <v>0.3</v>
      </c>
      <c r="E10" s="5">
        <f t="shared" si="0"/>
        <v>0.88</v>
      </c>
      <c r="G10" s="2">
        <v>1300</v>
      </c>
      <c r="H10" s="3">
        <v>14</v>
      </c>
      <c r="I10" s="3">
        <v>0.35799999999999998</v>
      </c>
      <c r="J10" s="5">
        <f t="shared" si="1"/>
        <v>0.14000000000000001</v>
      </c>
      <c r="L10" s="2">
        <v>1300</v>
      </c>
      <c r="M10" s="3">
        <v>0.28000000000000003</v>
      </c>
      <c r="N10" s="5">
        <v>1.5555555555555554E-8</v>
      </c>
      <c r="O10" s="3">
        <v>0.13439999999999999</v>
      </c>
      <c r="P10" s="5">
        <f t="shared" si="2"/>
        <v>1.5555555555555554E-8</v>
      </c>
    </row>
    <row r="11" spans="2:21" x14ac:dyDescent="0.25">
      <c r="B11" s="2">
        <v>1300</v>
      </c>
      <c r="C11" s="3">
        <v>85</v>
      </c>
      <c r="D11" s="3">
        <v>0.30599999999999999</v>
      </c>
      <c r="E11" s="5">
        <f t="shared" si="0"/>
        <v>0.85</v>
      </c>
      <c r="G11" s="2">
        <v>1300</v>
      </c>
      <c r="H11" s="3">
        <v>12</v>
      </c>
      <c r="I11" s="3">
        <v>0.371</v>
      </c>
      <c r="J11" s="5">
        <f t="shared" si="1"/>
        <v>0.12</v>
      </c>
      <c r="L11" s="2">
        <v>1300</v>
      </c>
      <c r="M11" s="3">
        <v>0.27</v>
      </c>
      <c r="N11" s="5">
        <v>1.1111111111111112E-8</v>
      </c>
      <c r="O11" s="3">
        <v>9.6000000000000002E-2</v>
      </c>
      <c r="P11" s="5">
        <f t="shared" si="2"/>
        <v>1.1111111111111112E-8</v>
      </c>
    </row>
    <row r="12" spans="2:21" x14ac:dyDescent="0.25">
      <c r="B12" s="2">
        <v>1300</v>
      </c>
      <c r="C12" s="3">
        <v>77</v>
      </c>
      <c r="D12" s="3">
        <v>0.30599999999999999</v>
      </c>
      <c r="E12" s="5">
        <f t="shared" si="0"/>
        <v>0.77</v>
      </c>
      <c r="G12" s="2">
        <v>1300</v>
      </c>
      <c r="H12" s="3">
        <v>8</v>
      </c>
      <c r="I12" s="3">
        <v>0.35399999999999998</v>
      </c>
      <c r="J12" s="5">
        <f t="shared" si="1"/>
        <v>0.08</v>
      </c>
      <c r="L12" s="2">
        <v>1300</v>
      </c>
      <c r="M12" s="3">
        <v>0.26</v>
      </c>
      <c r="N12" s="5">
        <v>7.7777777777777768E-9</v>
      </c>
      <c r="O12" s="3">
        <v>6.7199999999999996E-2</v>
      </c>
      <c r="P12" s="5">
        <f t="shared" si="2"/>
        <v>7.7777777777777768E-9</v>
      </c>
    </row>
    <row r="13" spans="2:21" x14ac:dyDescent="0.25">
      <c r="B13" s="2">
        <v>1300</v>
      </c>
      <c r="C13" s="3">
        <v>74</v>
      </c>
      <c r="D13" s="3">
        <v>0.312</v>
      </c>
      <c r="E13" s="5">
        <f t="shared" si="0"/>
        <v>0.74</v>
      </c>
      <c r="L13" s="2">
        <v>1300</v>
      </c>
      <c r="M13" s="3">
        <v>0.25</v>
      </c>
      <c r="N13" s="5">
        <v>3.3333333333333334E-9</v>
      </c>
      <c r="O13" s="3">
        <v>2.8799999999999999E-2</v>
      </c>
      <c r="P13" s="5">
        <f t="shared" si="2"/>
        <v>3.3333333333333334E-9</v>
      </c>
    </row>
    <row r="14" spans="2:21" x14ac:dyDescent="0.25">
      <c r="B14" s="2">
        <v>1300</v>
      </c>
      <c r="C14" s="3">
        <v>67</v>
      </c>
      <c r="D14" s="3">
        <v>0.316</v>
      </c>
      <c r="E14" s="5">
        <f t="shared" si="0"/>
        <v>0.67</v>
      </c>
    </row>
    <row r="15" spans="2:21" x14ac:dyDescent="0.25">
      <c r="B15" s="2">
        <v>1300</v>
      </c>
      <c r="C15" s="3">
        <v>63</v>
      </c>
      <c r="D15" s="3">
        <v>0.32300000000000001</v>
      </c>
      <c r="E15" s="5">
        <f t="shared" si="0"/>
        <v>0.63</v>
      </c>
    </row>
    <row r="16" spans="2:21" x14ac:dyDescent="0.25">
      <c r="B16" s="2">
        <v>1300</v>
      </c>
      <c r="C16" s="3">
        <v>58</v>
      </c>
      <c r="D16" s="3">
        <v>0.31180000000000002</v>
      </c>
      <c r="E16" s="5">
        <f t="shared" si="0"/>
        <v>0.57999999999999996</v>
      </c>
    </row>
    <row r="17" spans="2:17" x14ac:dyDescent="0.25">
      <c r="B17" s="2">
        <v>1300</v>
      </c>
      <c r="C17" s="3">
        <v>56</v>
      </c>
      <c r="D17" s="3">
        <v>0.33100000000000002</v>
      </c>
      <c r="E17" s="5">
        <f t="shared" si="0"/>
        <v>0.56000000000000005</v>
      </c>
    </row>
    <row r="18" spans="2:17" x14ac:dyDescent="0.25">
      <c r="B18" s="2">
        <v>1300</v>
      </c>
      <c r="C18" s="3">
        <v>49</v>
      </c>
      <c r="D18" s="3">
        <v>0.30499999999999999</v>
      </c>
      <c r="E18" s="5">
        <f t="shared" si="0"/>
        <v>0.49</v>
      </c>
    </row>
    <row r="19" spans="2:17" x14ac:dyDescent="0.25">
      <c r="B19" s="2">
        <v>1300</v>
      </c>
      <c r="C19" s="3">
        <v>48</v>
      </c>
      <c r="D19" s="3">
        <v>0.33300000000000002</v>
      </c>
      <c r="E19" s="5">
        <f t="shared" si="0"/>
        <v>0.48</v>
      </c>
    </row>
    <row r="20" spans="2:17" x14ac:dyDescent="0.25">
      <c r="B20" s="2">
        <v>1300</v>
      </c>
      <c r="C20" s="3">
        <v>40</v>
      </c>
      <c r="D20" s="3">
        <v>0.32400000000000001</v>
      </c>
      <c r="E20" s="5">
        <f t="shared" si="0"/>
        <v>0.4</v>
      </c>
      <c r="P20">
        <f>100</f>
        <v>100</v>
      </c>
      <c r="Q20">
        <f>24*60*60</f>
        <v>86400</v>
      </c>
    </row>
    <row r="21" spans="2:17" x14ac:dyDescent="0.25">
      <c r="B21" s="2">
        <v>1300</v>
      </c>
      <c r="C21" s="3">
        <v>41</v>
      </c>
      <c r="D21" s="3">
        <v>0.315</v>
      </c>
      <c r="E21" s="5">
        <f t="shared" si="0"/>
        <v>0.41</v>
      </c>
      <c r="Q21">
        <f>P20*Q20</f>
        <v>8640000</v>
      </c>
    </row>
    <row r="22" spans="2:17" x14ac:dyDescent="0.25">
      <c r="B22" s="2">
        <v>1300</v>
      </c>
      <c r="C22" s="3">
        <v>38</v>
      </c>
      <c r="D22" s="3">
        <v>0.35699999999999998</v>
      </c>
      <c r="E22" s="5">
        <f t="shared" si="0"/>
        <v>0.38</v>
      </c>
    </row>
    <row r="23" spans="2:17" x14ac:dyDescent="0.25">
      <c r="B23" s="2">
        <v>1300</v>
      </c>
      <c r="C23" s="3">
        <v>37</v>
      </c>
      <c r="D23" s="3">
        <v>0.34899999999999998</v>
      </c>
      <c r="E23" s="5">
        <f t="shared" si="0"/>
        <v>0.37</v>
      </c>
    </row>
    <row r="24" spans="2:17" x14ac:dyDescent="0.25">
      <c r="B24" s="2">
        <v>1300</v>
      </c>
      <c r="C24" s="3">
        <v>32</v>
      </c>
      <c r="D24" s="3">
        <v>0.33500000000000002</v>
      </c>
      <c r="E24" s="5">
        <f t="shared" si="0"/>
        <v>0.32</v>
      </c>
    </row>
    <row r="25" spans="2:17" x14ac:dyDescent="0.25">
      <c r="B25" s="2">
        <v>1300</v>
      </c>
      <c r="C25" s="3">
        <v>30</v>
      </c>
      <c r="D25" s="3">
        <v>0.35899999999999999</v>
      </c>
      <c r="E25" s="5">
        <f t="shared" si="0"/>
        <v>0.3</v>
      </c>
    </row>
    <row r="26" spans="2:17" x14ac:dyDescent="0.25">
      <c r="B26" s="2">
        <v>1300</v>
      </c>
      <c r="C26" s="3">
        <v>25</v>
      </c>
      <c r="D26" s="3">
        <v>0.36099999999999999</v>
      </c>
      <c r="E26" s="5">
        <f t="shared" si="0"/>
        <v>0.25</v>
      </c>
    </row>
    <row r="27" spans="2:17" x14ac:dyDescent="0.25">
      <c r="B27" s="2">
        <v>1300</v>
      </c>
      <c r="C27" s="3">
        <v>20</v>
      </c>
      <c r="D27" s="3">
        <v>0.36199999999999999</v>
      </c>
      <c r="E27" s="5">
        <f t="shared" si="0"/>
        <v>0.2</v>
      </c>
    </row>
    <row r="28" spans="2:17" x14ac:dyDescent="0.25">
      <c r="B28" s="2">
        <v>1300</v>
      </c>
      <c r="C28" s="3">
        <v>17</v>
      </c>
      <c r="D28" s="3">
        <v>0.36599999999999999</v>
      </c>
      <c r="E28" s="5">
        <f t="shared" si="0"/>
        <v>0.17</v>
      </c>
    </row>
    <row r="29" spans="2:17" x14ac:dyDescent="0.25">
      <c r="B29" s="2">
        <v>1300</v>
      </c>
      <c r="C29" s="3">
        <v>12</v>
      </c>
      <c r="D29" s="3">
        <v>0.38200000000000001</v>
      </c>
      <c r="E29" s="5">
        <f t="shared" si="0"/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2015-06-05T18:17:20Z</dcterms:created>
  <dcterms:modified xsi:type="dcterms:W3CDTF">2026-07-20T13:32:16Z</dcterms:modified>
</cp:coreProperties>
</file>