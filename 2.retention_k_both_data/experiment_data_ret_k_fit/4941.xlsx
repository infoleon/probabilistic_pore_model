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_trabalho\publicacoes\_new_pore_model\material\data_fit\"/>
    </mc:Choice>
  </mc:AlternateContent>
  <xr:revisionPtr revIDLastSave="0" documentId="13_ncr:1_{00C3DEEE-CA6A-41E8-B0D7-1DA8D301177B}" xr6:coauthVersionLast="47" xr6:coauthVersionMax="47" xr10:uidLastSave="{00000000-0000-0000-0000-000000000000}"/>
  <bookViews>
    <workbookView xWindow="25575" yWindow="3240" windowWidth="26130" windowHeight="139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" i="1" l="1"/>
  <c r="Q1" i="1"/>
  <c r="R2" i="1" s="1"/>
  <c r="L5" i="1"/>
  <c r="L6" i="1"/>
  <c r="L7" i="1"/>
  <c r="L8" i="1"/>
  <c r="L9" i="1"/>
  <c r="L10" i="1"/>
  <c r="L11" i="1"/>
  <c r="L12" i="1"/>
  <c r="L13" i="1"/>
  <c r="L14" i="1"/>
  <c r="L15" i="1"/>
  <c r="L16" i="1"/>
  <c r="L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4" i="1"/>
  <c r="R4" i="1" l="1"/>
  <c r="W20" i="1"/>
  <c r="R12" i="1"/>
  <c r="R28" i="1"/>
  <c r="W17" i="1"/>
  <c r="W5" i="1"/>
  <c r="W21" i="1"/>
  <c r="R13" i="1"/>
  <c r="R29" i="1"/>
  <c r="R8" i="1"/>
  <c r="W18" i="1"/>
  <c r="W6" i="1"/>
  <c r="W22" i="1"/>
  <c r="R14" i="1"/>
  <c r="R30" i="1"/>
  <c r="R10" i="1"/>
  <c r="W7" i="1"/>
  <c r="W23" i="1"/>
  <c r="R15" i="1"/>
  <c r="R31" i="1"/>
  <c r="W19" i="1"/>
  <c r="W8" i="1"/>
  <c r="W24" i="1"/>
  <c r="R16" i="1"/>
  <c r="R24" i="1"/>
  <c r="W9" i="1"/>
  <c r="W25" i="1"/>
  <c r="R17" i="1"/>
  <c r="W15" i="1"/>
  <c r="R26" i="1"/>
  <c r="W10" i="1"/>
  <c r="W26" i="1"/>
  <c r="R18" i="1"/>
  <c r="R23" i="1"/>
  <c r="R25" i="1"/>
  <c r="W11" i="1"/>
  <c r="W27" i="1"/>
  <c r="R19" i="1"/>
  <c r="W16" i="1"/>
  <c r="R27" i="1"/>
  <c r="W12" i="1"/>
  <c r="W4" i="1"/>
  <c r="R20" i="1"/>
  <c r="W13" i="1"/>
  <c r="R5" i="1"/>
  <c r="R21" i="1"/>
  <c r="R7" i="1"/>
  <c r="R11" i="1"/>
  <c r="W14" i="1"/>
  <c r="R6" i="1"/>
  <c r="R22" i="1"/>
  <c r="R9" i="1"/>
</calcChain>
</file>

<file path=xl/sharedStrings.xml><?xml version="1.0" encoding="utf-8"?>
<sst xmlns="http://schemas.openxmlformats.org/spreadsheetml/2006/main" count="19" uniqueCount="9">
  <si>
    <t>code</t>
  </si>
  <si>
    <t>preshead</t>
  </si>
  <si>
    <t>theta</t>
  </si>
  <si>
    <t>lab wetting</t>
  </si>
  <si>
    <t>drying</t>
  </si>
  <si>
    <t>conductivity</t>
  </si>
  <si>
    <t>wetting</t>
  </si>
  <si>
    <t>h_m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</si>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</sst>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2" borderId="0" xfId="1" applyFont="1" applyFill="1" applyAlignment="1">
      <alignment horizontal="center"/>
    </xf>
    <xf numFmtId="164" fontId="1" fillId="0" borderId="2" xfId="1" applyNumberFormat="1" applyFont="1" applyBorder="1" applyAlignment="1">
      <alignment wrapText="1"/>
    </xf>
    <xf numFmtId="164" fontId="0" fillId="0" borderId="0" xfId="0" applyNumberFormat="1"/>
    <xf numFmtId="164" fontId="1" fillId="0" borderId="2" xfId="1" applyNumberFormat="1" applyFont="1" applyBorder="1" applyAlignment="1">
      <alignment horizontal="right" wrapText="1"/>
    </xf>
    <xf numFmtId="11" fontId="0" fillId="0" borderId="0" xfId="0" applyNumberFormat="1"/>
    <xf numFmtId="11" fontId="1" fillId="0" borderId="2" xfId="1" applyNumberFormat="1" applyFont="1" applyBorder="1" applyAlignment="1">
      <alignment wrapText="1"/>
    </xf>
    <xf numFmtId="166" fontId="1" fillId="0" borderId="2" xfId="1" applyNumberFormat="1" applyFont="1" applyBorder="1" applyAlignment="1">
      <alignment wrapText="1"/>
    </xf>
  </cellXfs>
  <cellStyles count="2">
    <cellStyle name="Normal" xfId="0" builtinId="0"/>
    <cellStyle name="Normal_Sheet1" xfId="1" xr:uid="{F822B8E9-50FD-47CA-B737-9BB952EE76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Sheet1!$Q$3</c:f>
              <c:strCache>
                <c:ptCount val="1"/>
                <c:pt idx="0">
                  <c:v>conductivity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Sheet1!$O$4:$O$31</c:f>
              <c:numCache>
                <c:formatCode>0.0000</c:formatCode>
                <c:ptCount val="28"/>
                <c:pt idx="0">
                  <c:v>6.0000000000000001E-3</c:v>
                </c:pt>
                <c:pt idx="1">
                  <c:v>1.2999999999999999E-2</c:v>
                </c:pt>
                <c:pt idx="2">
                  <c:v>2.1000000000000001E-2</c:v>
                </c:pt>
                <c:pt idx="3">
                  <c:v>3.1E-2</c:v>
                </c:pt>
                <c:pt idx="4">
                  <c:v>4.2000000000000003E-2</c:v>
                </c:pt>
                <c:pt idx="5">
                  <c:v>5.1999999999999998E-2</c:v>
                </c:pt>
                <c:pt idx="6">
                  <c:v>6.4000000000000001E-2</c:v>
                </c:pt>
                <c:pt idx="7">
                  <c:v>7.5999999999999998E-2</c:v>
                </c:pt>
                <c:pt idx="8">
                  <c:v>8.5000000000000006E-2</c:v>
                </c:pt>
                <c:pt idx="9">
                  <c:v>9.5000000000000001E-2</c:v>
                </c:pt>
                <c:pt idx="10">
                  <c:v>0.107</c:v>
                </c:pt>
                <c:pt idx="11">
                  <c:v>0.11799999999999999</c:v>
                </c:pt>
                <c:pt idx="12">
                  <c:v>0.127</c:v>
                </c:pt>
                <c:pt idx="13">
                  <c:v>0.13200000000000001</c:v>
                </c:pt>
                <c:pt idx="14">
                  <c:v>0.14199999999999999</c:v>
                </c:pt>
                <c:pt idx="15">
                  <c:v>0.151</c:v>
                </c:pt>
                <c:pt idx="16">
                  <c:v>0.159</c:v>
                </c:pt>
                <c:pt idx="17">
                  <c:v>0.16600000000000001</c:v>
                </c:pt>
                <c:pt idx="18">
                  <c:v>0.17199999999999999</c:v>
                </c:pt>
                <c:pt idx="19">
                  <c:v>0.18</c:v>
                </c:pt>
                <c:pt idx="20">
                  <c:v>0.185</c:v>
                </c:pt>
                <c:pt idx="21">
                  <c:v>0.188</c:v>
                </c:pt>
                <c:pt idx="22">
                  <c:v>0.19400000000000001</c:v>
                </c:pt>
                <c:pt idx="23">
                  <c:v>0.20100000000000001</c:v>
                </c:pt>
                <c:pt idx="24">
                  <c:v>0.20899999999999999</c:v>
                </c:pt>
                <c:pt idx="25">
                  <c:v>0.217</c:v>
                </c:pt>
                <c:pt idx="26">
                  <c:v>0.22500000000000001</c:v>
                </c:pt>
                <c:pt idx="27">
                  <c:v>0.23200000000000001</c:v>
                </c:pt>
              </c:numCache>
            </c:numRef>
          </c:xVal>
          <c:yVal>
            <c:numRef>
              <c:f>Sheet1!$Q$4:$Q$31</c:f>
              <c:numCache>
                <c:formatCode>0.000</c:formatCode>
                <c:ptCount val="28"/>
                <c:pt idx="0">
                  <c:v>35.659999999999997</c:v>
                </c:pt>
                <c:pt idx="1">
                  <c:v>38.21</c:v>
                </c:pt>
                <c:pt idx="2">
                  <c:v>40.78</c:v>
                </c:pt>
                <c:pt idx="3">
                  <c:v>45.86</c:v>
                </c:pt>
                <c:pt idx="4">
                  <c:v>53.5</c:v>
                </c:pt>
                <c:pt idx="5">
                  <c:v>63.7</c:v>
                </c:pt>
                <c:pt idx="6">
                  <c:v>78.98</c:v>
                </c:pt>
                <c:pt idx="7">
                  <c:v>93</c:v>
                </c:pt>
                <c:pt idx="8">
                  <c:v>108.3</c:v>
                </c:pt>
                <c:pt idx="9">
                  <c:v>128.69999999999999</c:v>
                </c:pt>
                <c:pt idx="10">
                  <c:v>155.4</c:v>
                </c:pt>
                <c:pt idx="11">
                  <c:v>183.4</c:v>
                </c:pt>
                <c:pt idx="12">
                  <c:v>211.5</c:v>
                </c:pt>
                <c:pt idx="13">
                  <c:v>228</c:v>
                </c:pt>
                <c:pt idx="14">
                  <c:v>259.89999999999998</c:v>
                </c:pt>
                <c:pt idx="15">
                  <c:v>291.7</c:v>
                </c:pt>
                <c:pt idx="16">
                  <c:v>324.8</c:v>
                </c:pt>
                <c:pt idx="17">
                  <c:v>356.7</c:v>
                </c:pt>
                <c:pt idx="18">
                  <c:v>389.8</c:v>
                </c:pt>
                <c:pt idx="19">
                  <c:v>438.2</c:v>
                </c:pt>
                <c:pt idx="20">
                  <c:v>471.3</c:v>
                </c:pt>
                <c:pt idx="21">
                  <c:v>493</c:v>
                </c:pt>
                <c:pt idx="22">
                  <c:v>522.29999999999995</c:v>
                </c:pt>
                <c:pt idx="23">
                  <c:v>583.4</c:v>
                </c:pt>
                <c:pt idx="24">
                  <c:v>654.79999999999995</c:v>
                </c:pt>
                <c:pt idx="25">
                  <c:v>721</c:v>
                </c:pt>
                <c:pt idx="26">
                  <c:v>784.7</c:v>
                </c:pt>
                <c:pt idx="27">
                  <c:v>859.9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78-4C4D-B852-2B784F25E7B7}"/>
            </c:ext>
          </c:extLst>
        </c:ser>
        <c:ser>
          <c:idx val="1"/>
          <c:order val="1"/>
          <c:tx>
            <c:v>yvx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Sheet1!$U$4:$U$27</c:f>
              <c:numCache>
                <c:formatCode>0.000</c:formatCode>
                <c:ptCount val="24"/>
                <c:pt idx="0">
                  <c:v>8.0000000000000002E-3</c:v>
                </c:pt>
                <c:pt idx="1">
                  <c:v>1.6E-2</c:v>
                </c:pt>
                <c:pt idx="2">
                  <c:v>2.7E-2</c:v>
                </c:pt>
                <c:pt idx="3">
                  <c:v>4.1000000000000002E-2</c:v>
                </c:pt>
                <c:pt idx="4">
                  <c:v>5.7000000000000002E-2</c:v>
                </c:pt>
                <c:pt idx="5">
                  <c:v>7.1999999999999995E-2</c:v>
                </c:pt>
                <c:pt idx="6">
                  <c:v>0.09</c:v>
                </c:pt>
                <c:pt idx="7">
                  <c:v>0.104</c:v>
                </c:pt>
                <c:pt idx="8">
                  <c:v>0.115</c:v>
                </c:pt>
                <c:pt idx="9">
                  <c:v>0.123</c:v>
                </c:pt>
                <c:pt idx="10">
                  <c:v>0.13500000000000001</c:v>
                </c:pt>
                <c:pt idx="11">
                  <c:v>0.14699999999999999</c:v>
                </c:pt>
                <c:pt idx="12">
                  <c:v>0.158</c:v>
                </c:pt>
                <c:pt idx="13">
                  <c:v>0.17</c:v>
                </c:pt>
                <c:pt idx="14">
                  <c:v>0.18099999999999999</c:v>
                </c:pt>
                <c:pt idx="15">
                  <c:v>0.188</c:v>
                </c:pt>
                <c:pt idx="16">
                  <c:v>0.19600000000000001</c:v>
                </c:pt>
                <c:pt idx="17">
                  <c:v>0.20100000000000001</c:v>
                </c:pt>
                <c:pt idx="18">
                  <c:v>0.20699999999999999</c:v>
                </c:pt>
                <c:pt idx="19">
                  <c:v>0.214</c:v>
                </c:pt>
                <c:pt idx="20">
                  <c:v>0.223</c:v>
                </c:pt>
                <c:pt idx="21">
                  <c:v>0.22700000000000001</c:v>
                </c:pt>
                <c:pt idx="22">
                  <c:v>0.23200000000000001</c:v>
                </c:pt>
                <c:pt idx="23">
                  <c:v>0.24</c:v>
                </c:pt>
              </c:numCache>
            </c:numRef>
          </c:xVal>
          <c:yVal>
            <c:numRef>
              <c:f>Sheet1!$V$4:$V$27</c:f>
              <c:numCache>
                <c:formatCode>0.000</c:formatCode>
                <c:ptCount val="24"/>
                <c:pt idx="0">
                  <c:v>39.36</c:v>
                </c:pt>
                <c:pt idx="1">
                  <c:v>53.33</c:v>
                </c:pt>
                <c:pt idx="2">
                  <c:v>71.11</c:v>
                </c:pt>
                <c:pt idx="3">
                  <c:v>91.44</c:v>
                </c:pt>
                <c:pt idx="4">
                  <c:v>121.9</c:v>
                </c:pt>
                <c:pt idx="5">
                  <c:v>160</c:v>
                </c:pt>
                <c:pt idx="6">
                  <c:v>205.7</c:v>
                </c:pt>
                <c:pt idx="7">
                  <c:v>241.3</c:v>
                </c:pt>
                <c:pt idx="8">
                  <c:v>276.8</c:v>
                </c:pt>
                <c:pt idx="9">
                  <c:v>307.3</c:v>
                </c:pt>
                <c:pt idx="10">
                  <c:v>347.9</c:v>
                </c:pt>
                <c:pt idx="11">
                  <c:v>398.7</c:v>
                </c:pt>
                <c:pt idx="12">
                  <c:v>439.4</c:v>
                </c:pt>
                <c:pt idx="13">
                  <c:v>500.3</c:v>
                </c:pt>
                <c:pt idx="14">
                  <c:v>556.20000000000005</c:v>
                </c:pt>
                <c:pt idx="15">
                  <c:v>603.20000000000005</c:v>
                </c:pt>
                <c:pt idx="16">
                  <c:v>650.20000000000005</c:v>
                </c:pt>
                <c:pt idx="17">
                  <c:v>687</c:v>
                </c:pt>
                <c:pt idx="18">
                  <c:v>728.9</c:v>
                </c:pt>
                <c:pt idx="19">
                  <c:v>772.1</c:v>
                </c:pt>
                <c:pt idx="20">
                  <c:v>827.9</c:v>
                </c:pt>
                <c:pt idx="21">
                  <c:v>868.6</c:v>
                </c:pt>
                <c:pt idx="22">
                  <c:v>921.9</c:v>
                </c:pt>
                <c:pt idx="23">
                  <c:v>975.2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78-4C4D-B852-2B784F25E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107568"/>
        <c:axId val="2065108048"/>
      </c:scatterChart>
      <c:valAx>
        <c:axId val="206510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65108048"/>
        <c:crosses val="autoZero"/>
        <c:crossBetween val="midCat"/>
      </c:valAx>
      <c:valAx>
        <c:axId val="206510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6510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Sheet1!$E$4:$E$18</c:f>
              <c:numCache>
                <c:formatCode>General</c:formatCode>
                <c:ptCount val="1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14</c:v>
                </c:pt>
                <c:pt idx="4">
                  <c:v>15</c:v>
                </c:pt>
                <c:pt idx="5">
                  <c:v>15</c:v>
                </c:pt>
                <c:pt idx="6">
                  <c:v>16</c:v>
                </c:pt>
                <c:pt idx="7">
                  <c:v>18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26</c:v>
                </c:pt>
                <c:pt idx="12">
                  <c:v>30</c:v>
                </c:pt>
                <c:pt idx="13">
                  <c:v>31</c:v>
                </c:pt>
                <c:pt idx="14">
                  <c:v>38</c:v>
                </c:pt>
              </c:numCache>
            </c:numRef>
          </c:xVal>
          <c:yVal>
            <c:numRef>
              <c:f>Sheet1!$F$4:$F$18</c:f>
              <c:numCache>
                <c:formatCode>0.000</c:formatCode>
                <c:ptCount val="15"/>
                <c:pt idx="0">
                  <c:v>0.25</c:v>
                </c:pt>
                <c:pt idx="1">
                  <c:v>0.24299999999999999</c:v>
                </c:pt>
                <c:pt idx="2">
                  <c:v>0.22900000000000001</c:v>
                </c:pt>
                <c:pt idx="3">
                  <c:v>0.222</c:v>
                </c:pt>
                <c:pt idx="4">
                  <c:v>0.219</c:v>
                </c:pt>
                <c:pt idx="5">
                  <c:v>0.215</c:v>
                </c:pt>
                <c:pt idx="6">
                  <c:v>0.20699999999999999</c:v>
                </c:pt>
                <c:pt idx="7">
                  <c:v>0.191</c:v>
                </c:pt>
                <c:pt idx="8">
                  <c:v>0.186</c:v>
                </c:pt>
                <c:pt idx="9">
                  <c:v>0.16700000000000001</c:v>
                </c:pt>
                <c:pt idx="10">
                  <c:v>0.14599999999999999</c:v>
                </c:pt>
                <c:pt idx="11">
                  <c:v>0.122</c:v>
                </c:pt>
                <c:pt idx="12">
                  <c:v>0.108</c:v>
                </c:pt>
                <c:pt idx="13">
                  <c:v>0.106</c:v>
                </c:pt>
                <c:pt idx="14">
                  <c:v>8.7999999999999995E-2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77-4F75-9E60-B63A7F3A01D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Sheet1!$J$4:$J$16</c:f>
              <c:numCache>
                <c:formatCode>0.000</c:formatCode>
                <c:ptCount val="13"/>
                <c:pt idx="0">
                  <c:v>20</c:v>
                </c:pt>
                <c:pt idx="1">
                  <c:v>22</c:v>
                </c:pt>
                <c:pt idx="2">
                  <c:v>22</c:v>
                </c:pt>
                <c:pt idx="3">
                  <c:v>24</c:v>
                </c:pt>
                <c:pt idx="4">
                  <c:v>24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31</c:v>
                </c:pt>
                <c:pt idx="11">
                  <c:v>36</c:v>
                </c:pt>
                <c:pt idx="12">
                  <c:v>38</c:v>
                </c:pt>
              </c:numCache>
            </c:numRef>
          </c:xVal>
          <c:yVal>
            <c:numRef>
              <c:f>Sheet1!$K$4:$K$16</c:f>
              <c:numCache>
                <c:formatCode>0.000</c:formatCode>
                <c:ptCount val="13"/>
                <c:pt idx="0">
                  <c:v>0.249</c:v>
                </c:pt>
                <c:pt idx="1">
                  <c:v>0.23300000000000001</c:v>
                </c:pt>
                <c:pt idx="2">
                  <c:v>0.23100000000000001</c:v>
                </c:pt>
                <c:pt idx="3">
                  <c:v>0.21</c:v>
                </c:pt>
                <c:pt idx="4">
                  <c:v>0.21</c:v>
                </c:pt>
                <c:pt idx="5">
                  <c:v>0.188</c:v>
                </c:pt>
                <c:pt idx="6">
                  <c:v>0.17399999999999999</c:v>
                </c:pt>
                <c:pt idx="7">
                  <c:v>0.17</c:v>
                </c:pt>
                <c:pt idx="8">
                  <c:v>0.154</c:v>
                </c:pt>
                <c:pt idx="9">
                  <c:v>0.14499999999999999</c:v>
                </c:pt>
                <c:pt idx="10">
                  <c:v>0.14199999999999999</c:v>
                </c:pt>
                <c:pt idx="11">
                  <c:v>9.6000000000000002E-2</c:v>
                </c:pt>
                <c:pt idx="12">
                  <c:v>8.5999999999999993E-2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77-4F75-9E60-B63A7F3A0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050928"/>
        <c:axId val="2065067728"/>
      </c:scatterChart>
      <c:valAx>
        <c:axId val="206505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65067728"/>
        <c:crosses val="autoZero"/>
        <c:crossBetween val="midCat"/>
      </c:valAx>
      <c:valAx>
        <c:axId val="20650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6505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419100</xdr:colOff>
      <xdr:row>29</xdr:row>
      <xdr:rowOff>80962</xdr:rowOff>
    </xdr:from>
    <xdr:to>
      <xdr:col>29</xdr:col>
      <xdr:colOff>114300</xdr:colOff>
      <xdr:row>43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C47BF-BF47-4B41-C13F-EB5427C5E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25</xdr:row>
      <xdr:rowOff>176212</xdr:rowOff>
    </xdr:from>
    <xdr:to>
      <xdr:col>9</xdr:col>
      <xdr:colOff>323850</xdr:colOff>
      <xdr:row>40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D43AF7-0FDC-6EC5-01E0-C616D8753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X32"/>
  <sheetViews>
    <sheetView tabSelected="1" workbookViewId="0">
      <selection activeCell="P32" sqref="P32"/>
    </sheetView>
  </sheetViews>
  <sheetFormatPr defaultRowHeight="15" x14ac:dyDescent="0.25"/>
  <cols>
    <col min="18" max="18" width="12" bestFit="1" customWidth="1"/>
    <col min="23" max="23" width="12" bestFit="1" customWidth="1"/>
  </cols>
  <sheetData>
    <row r="1" spans="4:24" x14ac:dyDescent="0.25">
      <c r="E1" t="s">
        <v>3</v>
      </c>
      <c r="G1">
        <v>100</v>
      </c>
      <c r="J1" t="s">
        <v>4</v>
      </c>
      <c r="O1" t="s">
        <v>4</v>
      </c>
      <c r="Q1">
        <f>100</f>
        <v>100</v>
      </c>
      <c r="R1">
        <f>24*60*60</f>
        <v>86400</v>
      </c>
      <c r="T1" t="s">
        <v>6</v>
      </c>
    </row>
    <row r="2" spans="4:24" x14ac:dyDescent="0.25">
      <c r="R2">
        <f>Q1*R1</f>
        <v>8640000</v>
      </c>
    </row>
    <row r="3" spans="4:24" x14ac:dyDescent="0.25">
      <c r="D3" s="1" t="s">
        <v>0</v>
      </c>
      <c r="E3" s="1" t="s">
        <v>1</v>
      </c>
      <c r="F3" s="1" t="s">
        <v>2</v>
      </c>
      <c r="G3" s="4" t="s">
        <v>7</v>
      </c>
      <c r="I3" s="1" t="s">
        <v>0</v>
      </c>
      <c r="J3" s="1" t="s">
        <v>1</v>
      </c>
      <c r="K3" s="1" t="s">
        <v>2</v>
      </c>
      <c r="L3" s="4" t="s">
        <v>7</v>
      </c>
      <c r="N3" s="1" t="s">
        <v>0</v>
      </c>
      <c r="O3" s="1" t="s">
        <v>2</v>
      </c>
      <c r="P3" s="1"/>
      <c r="Q3" s="1" t="s">
        <v>5</v>
      </c>
      <c r="T3" s="1" t="s">
        <v>0</v>
      </c>
      <c r="U3" s="1" t="s">
        <v>2</v>
      </c>
      <c r="V3" s="1" t="s">
        <v>5</v>
      </c>
      <c r="W3" s="4" t="s">
        <v>8</v>
      </c>
    </row>
    <row r="4" spans="4:24" x14ac:dyDescent="0.25">
      <c r="D4" s="2">
        <v>4941</v>
      </c>
      <c r="E4" s="3">
        <v>9</v>
      </c>
      <c r="F4" s="5">
        <v>0.25</v>
      </c>
      <c r="G4" s="6">
        <f>E4/$G$1</f>
        <v>0.09</v>
      </c>
      <c r="H4" s="6"/>
      <c r="I4" s="7">
        <v>4941</v>
      </c>
      <c r="J4" s="5">
        <v>20</v>
      </c>
      <c r="K4" s="5">
        <v>0.249</v>
      </c>
      <c r="L4" s="6">
        <f>J4/$G$1</f>
        <v>0.2</v>
      </c>
      <c r="M4" s="6"/>
      <c r="N4" s="7">
        <v>4941</v>
      </c>
      <c r="O4" s="10">
        <v>6.0000000000000001E-3</v>
      </c>
      <c r="P4" s="9">
        <v>4.1273148148148144E-6</v>
      </c>
      <c r="Q4" s="5">
        <v>35.659999999999997</v>
      </c>
      <c r="R4" s="8">
        <f>Q4/$R$2</f>
        <v>4.1273148148148144E-6</v>
      </c>
      <c r="S4" s="6"/>
      <c r="T4" s="7">
        <v>4941</v>
      </c>
      <c r="U4" s="5">
        <v>8.0000000000000002E-3</v>
      </c>
      <c r="V4" s="5">
        <v>39.36</v>
      </c>
      <c r="W4" s="8">
        <f>V4/$R$2</f>
        <v>4.5555555555555552E-6</v>
      </c>
      <c r="X4" s="6"/>
    </row>
    <row r="5" spans="4:24" x14ac:dyDescent="0.25">
      <c r="D5" s="2">
        <v>4941</v>
      </c>
      <c r="E5" s="3">
        <v>10</v>
      </c>
      <c r="F5" s="5">
        <v>0.24299999999999999</v>
      </c>
      <c r="G5" s="6">
        <f t="shared" ref="G5:G18" si="0">E5/$G$1</f>
        <v>0.1</v>
      </c>
      <c r="H5" s="6"/>
      <c r="I5" s="7">
        <v>4941</v>
      </c>
      <c r="J5" s="5">
        <v>22</v>
      </c>
      <c r="K5" s="5">
        <v>0.23300000000000001</v>
      </c>
      <c r="L5" s="6">
        <f t="shared" ref="L5:L16" si="1">J5/$G$1</f>
        <v>0.22</v>
      </c>
      <c r="M5" s="6"/>
      <c r="N5" s="7">
        <v>4941</v>
      </c>
      <c r="O5" s="10">
        <v>1.2999999999999999E-2</v>
      </c>
      <c r="P5" s="9">
        <v>4.4224537037037038E-6</v>
      </c>
      <c r="Q5" s="5">
        <v>38.21</v>
      </c>
      <c r="R5" s="8">
        <f t="shared" ref="R5:R31" si="2">Q5/$R$2</f>
        <v>4.4224537037037038E-6</v>
      </c>
      <c r="S5" s="6"/>
      <c r="T5" s="7">
        <v>4941</v>
      </c>
      <c r="U5" s="5">
        <v>1.6E-2</v>
      </c>
      <c r="V5" s="5">
        <v>53.33</v>
      </c>
      <c r="W5" s="8">
        <f t="shared" ref="W5:W27" si="3">V5/$R$2</f>
        <v>6.1724537037037032E-6</v>
      </c>
      <c r="X5" s="6"/>
    </row>
    <row r="6" spans="4:24" x14ac:dyDescent="0.25">
      <c r="D6" s="2">
        <v>4941</v>
      </c>
      <c r="E6" s="3">
        <v>11</v>
      </c>
      <c r="F6" s="5">
        <v>0.22900000000000001</v>
      </c>
      <c r="G6" s="6">
        <f t="shared" si="0"/>
        <v>0.11</v>
      </c>
      <c r="H6" s="6"/>
      <c r="I6" s="7">
        <v>4941</v>
      </c>
      <c r="J6" s="5">
        <v>22</v>
      </c>
      <c r="K6" s="5">
        <v>0.23100000000000001</v>
      </c>
      <c r="L6" s="6">
        <f t="shared" si="1"/>
        <v>0.22</v>
      </c>
      <c r="M6" s="6"/>
      <c r="N6" s="7">
        <v>4941</v>
      </c>
      <c r="O6" s="10">
        <v>2.1000000000000001E-2</v>
      </c>
      <c r="P6" s="9">
        <v>4.7199074074074074E-6</v>
      </c>
      <c r="Q6" s="5">
        <v>40.78</v>
      </c>
      <c r="R6" s="8">
        <f t="shared" si="2"/>
        <v>4.7199074074074074E-6</v>
      </c>
      <c r="S6" s="6"/>
      <c r="T6" s="7">
        <v>4941</v>
      </c>
      <c r="U6" s="5">
        <v>2.7E-2</v>
      </c>
      <c r="V6" s="5">
        <v>71.11</v>
      </c>
      <c r="W6" s="8">
        <f t="shared" si="3"/>
        <v>8.2303240740740735E-6</v>
      </c>
      <c r="X6" s="6"/>
    </row>
    <row r="7" spans="4:24" x14ac:dyDescent="0.25">
      <c r="D7" s="2">
        <v>4941</v>
      </c>
      <c r="E7" s="3">
        <v>14</v>
      </c>
      <c r="F7" s="5">
        <v>0.222</v>
      </c>
      <c r="G7" s="6">
        <f t="shared" si="0"/>
        <v>0.14000000000000001</v>
      </c>
      <c r="H7" s="6"/>
      <c r="I7" s="7">
        <v>4941</v>
      </c>
      <c r="J7" s="5">
        <v>24</v>
      </c>
      <c r="K7" s="5">
        <v>0.21</v>
      </c>
      <c r="L7" s="6">
        <f t="shared" si="1"/>
        <v>0.24</v>
      </c>
      <c r="M7" s="6"/>
      <c r="N7" s="7">
        <v>4941</v>
      </c>
      <c r="O7" s="10">
        <v>3.1E-2</v>
      </c>
      <c r="P7" s="9">
        <v>5.3078703703703706E-6</v>
      </c>
      <c r="Q7" s="5">
        <v>45.86</v>
      </c>
      <c r="R7" s="8">
        <f t="shared" si="2"/>
        <v>5.3078703703703706E-6</v>
      </c>
      <c r="S7" s="6"/>
      <c r="T7" s="7">
        <v>4941</v>
      </c>
      <c r="U7" s="5">
        <v>4.1000000000000002E-2</v>
      </c>
      <c r="V7" s="5">
        <v>91.44</v>
      </c>
      <c r="W7" s="8">
        <f t="shared" si="3"/>
        <v>1.0583333333333333E-5</v>
      </c>
      <c r="X7" s="6"/>
    </row>
    <row r="8" spans="4:24" x14ac:dyDescent="0.25">
      <c r="D8" s="2">
        <v>4941</v>
      </c>
      <c r="E8" s="3">
        <v>15</v>
      </c>
      <c r="F8" s="5">
        <v>0.219</v>
      </c>
      <c r="G8" s="6">
        <f t="shared" si="0"/>
        <v>0.15</v>
      </c>
      <c r="H8" s="6"/>
      <c r="I8" s="7">
        <v>4941</v>
      </c>
      <c r="J8" s="5">
        <v>24</v>
      </c>
      <c r="K8" s="5">
        <v>0.21</v>
      </c>
      <c r="L8" s="6">
        <f t="shared" si="1"/>
        <v>0.24</v>
      </c>
      <c r="M8" s="6"/>
      <c r="N8" s="7">
        <v>4941</v>
      </c>
      <c r="O8" s="10">
        <v>4.2000000000000003E-2</v>
      </c>
      <c r="P8" s="9">
        <v>6.1921296296296294E-6</v>
      </c>
      <c r="Q8" s="5">
        <v>53.5</v>
      </c>
      <c r="R8" s="8">
        <f t="shared" si="2"/>
        <v>6.1921296296296294E-6</v>
      </c>
      <c r="S8" s="6"/>
      <c r="T8" s="7">
        <v>4941</v>
      </c>
      <c r="U8" s="5">
        <v>5.7000000000000002E-2</v>
      </c>
      <c r="V8" s="5">
        <v>121.9</v>
      </c>
      <c r="W8" s="8">
        <f t="shared" si="3"/>
        <v>1.4108796296296298E-5</v>
      </c>
      <c r="X8" s="6"/>
    </row>
    <row r="9" spans="4:24" x14ac:dyDescent="0.25">
      <c r="D9" s="2">
        <v>4941</v>
      </c>
      <c r="E9" s="3">
        <v>15</v>
      </c>
      <c r="F9" s="5">
        <v>0.215</v>
      </c>
      <c r="G9" s="6">
        <f t="shared" si="0"/>
        <v>0.15</v>
      </c>
      <c r="H9" s="6"/>
      <c r="I9" s="7">
        <v>4941</v>
      </c>
      <c r="J9" s="5">
        <v>27</v>
      </c>
      <c r="K9" s="5">
        <v>0.188</v>
      </c>
      <c r="L9" s="6">
        <f t="shared" si="1"/>
        <v>0.27</v>
      </c>
      <c r="M9" s="6"/>
      <c r="N9" s="7">
        <v>4941</v>
      </c>
      <c r="O9" s="10">
        <v>5.1999999999999998E-2</v>
      </c>
      <c r="P9" s="9">
        <v>7.3726851851851856E-6</v>
      </c>
      <c r="Q9" s="5">
        <v>63.7</v>
      </c>
      <c r="R9" s="8">
        <f t="shared" si="2"/>
        <v>7.3726851851851856E-6</v>
      </c>
      <c r="S9" s="6"/>
      <c r="T9" s="7">
        <v>4941</v>
      </c>
      <c r="U9" s="5">
        <v>7.1999999999999995E-2</v>
      </c>
      <c r="V9" s="5">
        <v>160</v>
      </c>
      <c r="W9" s="8">
        <f t="shared" si="3"/>
        <v>1.8518518518518518E-5</v>
      </c>
      <c r="X9" s="6"/>
    </row>
    <row r="10" spans="4:24" x14ac:dyDescent="0.25">
      <c r="D10" s="2">
        <v>4941</v>
      </c>
      <c r="E10" s="3">
        <v>16</v>
      </c>
      <c r="F10" s="5">
        <v>0.20699999999999999</v>
      </c>
      <c r="G10" s="6">
        <f t="shared" si="0"/>
        <v>0.16</v>
      </c>
      <c r="H10" s="6"/>
      <c r="I10" s="7">
        <v>4941</v>
      </c>
      <c r="J10" s="5">
        <v>28</v>
      </c>
      <c r="K10" s="5">
        <v>0.17399999999999999</v>
      </c>
      <c r="L10" s="6">
        <f t="shared" si="1"/>
        <v>0.28000000000000003</v>
      </c>
      <c r="M10" s="6"/>
      <c r="N10" s="7">
        <v>4941</v>
      </c>
      <c r="O10" s="10">
        <v>6.4000000000000001E-2</v>
      </c>
      <c r="P10" s="9">
        <v>9.1412037037037033E-6</v>
      </c>
      <c r="Q10" s="5">
        <v>78.98</v>
      </c>
      <c r="R10" s="8">
        <f t="shared" si="2"/>
        <v>9.1412037037037033E-6</v>
      </c>
      <c r="S10" s="6"/>
      <c r="T10" s="7">
        <v>4941</v>
      </c>
      <c r="U10" s="5">
        <v>0.09</v>
      </c>
      <c r="V10" s="5">
        <v>205.7</v>
      </c>
      <c r="W10" s="8">
        <f t="shared" si="3"/>
        <v>2.3807870370370368E-5</v>
      </c>
      <c r="X10" s="6"/>
    </row>
    <row r="11" spans="4:24" x14ac:dyDescent="0.25">
      <c r="D11" s="2">
        <v>4941</v>
      </c>
      <c r="E11" s="3">
        <v>18</v>
      </c>
      <c r="F11" s="5">
        <v>0.191</v>
      </c>
      <c r="G11" s="6">
        <f t="shared" si="0"/>
        <v>0.18</v>
      </c>
      <c r="H11" s="6"/>
      <c r="I11" s="7">
        <v>4941</v>
      </c>
      <c r="J11" s="5">
        <v>29</v>
      </c>
      <c r="K11" s="5">
        <v>0.17</v>
      </c>
      <c r="L11" s="6">
        <f t="shared" si="1"/>
        <v>0.28999999999999998</v>
      </c>
      <c r="M11" s="6"/>
      <c r="N11" s="7">
        <v>4941</v>
      </c>
      <c r="O11" s="10">
        <v>7.5999999999999998E-2</v>
      </c>
      <c r="P11" s="9">
        <v>1.0763888888888888E-5</v>
      </c>
      <c r="Q11" s="5">
        <v>93</v>
      </c>
      <c r="R11" s="8">
        <f t="shared" si="2"/>
        <v>1.0763888888888888E-5</v>
      </c>
      <c r="S11" s="6"/>
      <c r="T11" s="7">
        <v>4941</v>
      </c>
      <c r="U11" s="5">
        <v>0.104</v>
      </c>
      <c r="V11" s="5">
        <v>241.3</v>
      </c>
      <c r="W11" s="8">
        <f t="shared" si="3"/>
        <v>2.7928240740740742E-5</v>
      </c>
      <c r="X11" s="6"/>
    </row>
    <row r="12" spans="4:24" x14ac:dyDescent="0.25">
      <c r="D12" s="2">
        <v>4941</v>
      </c>
      <c r="E12" s="3">
        <v>18</v>
      </c>
      <c r="F12" s="5">
        <v>0.186</v>
      </c>
      <c r="G12" s="6">
        <f t="shared" si="0"/>
        <v>0.18</v>
      </c>
      <c r="H12" s="6"/>
      <c r="I12" s="7">
        <v>4941</v>
      </c>
      <c r="J12" s="5">
        <v>30</v>
      </c>
      <c r="K12" s="5">
        <v>0.154</v>
      </c>
      <c r="L12" s="6">
        <f t="shared" si="1"/>
        <v>0.3</v>
      </c>
      <c r="M12" s="6"/>
      <c r="N12" s="7">
        <v>4941</v>
      </c>
      <c r="O12" s="10">
        <v>8.5000000000000006E-2</v>
      </c>
      <c r="P12" s="9">
        <v>1.2534722222222222E-5</v>
      </c>
      <c r="Q12" s="5">
        <v>108.3</v>
      </c>
      <c r="R12" s="8">
        <f t="shared" si="2"/>
        <v>1.2534722222222222E-5</v>
      </c>
      <c r="S12" s="6"/>
      <c r="T12" s="7">
        <v>4941</v>
      </c>
      <c r="U12" s="5">
        <v>0.115</v>
      </c>
      <c r="V12" s="5">
        <v>276.8</v>
      </c>
      <c r="W12" s="8">
        <f t="shared" si="3"/>
        <v>3.2037037037037037E-5</v>
      </c>
      <c r="X12" s="6"/>
    </row>
    <row r="13" spans="4:24" x14ac:dyDescent="0.25">
      <c r="D13" s="2">
        <v>4941</v>
      </c>
      <c r="E13" s="3">
        <v>20</v>
      </c>
      <c r="F13" s="5">
        <v>0.16700000000000001</v>
      </c>
      <c r="G13" s="6">
        <f t="shared" si="0"/>
        <v>0.2</v>
      </c>
      <c r="H13" s="6"/>
      <c r="I13" s="7">
        <v>4941</v>
      </c>
      <c r="J13" s="5">
        <v>31</v>
      </c>
      <c r="K13" s="5">
        <v>0.14499999999999999</v>
      </c>
      <c r="L13" s="6">
        <f t="shared" si="1"/>
        <v>0.31</v>
      </c>
      <c r="M13" s="6"/>
      <c r="N13" s="7">
        <v>4941</v>
      </c>
      <c r="O13" s="10">
        <v>9.5000000000000001E-2</v>
      </c>
      <c r="P13" s="9">
        <v>1.4895833333333332E-5</v>
      </c>
      <c r="Q13" s="5">
        <v>128.69999999999999</v>
      </c>
      <c r="R13" s="8">
        <f t="shared" si="2"/>
        <v>1.4895833333333332E-5</v>
      </c>
      <c r="S13" s="6"/>
      <c r="T13" s="7">
        <v>4941</v>
      </c>
      <c r="U13" s="5">
        <v>0.123</v>
      </c>
      <c r="V13" s="5">
        <v>307.3</v>
      </c>
      <c r="W13" s="8">
        <f t="shared" si="3"/>
        <v>3.5567129629629629E-5</v>
      </c>
      <c r="X13" s="6"/>
    </row>
    <row r="14" spans="4:24" x14ac:dyDescent="0.25">
      <c r="D14" s="2">
        <v>4941</v>
      </c>
      <c r="E14" s="3">
        <v>22</v>
      </c>
      <c r="F14" s="5">
        <v>0.14599999999999999</v>
      </c>
      <c r="G14" s="6">
        <f t="shared" si="0"/>
        <v>0.22</v>
      </c>
      <c r="H14" s="6"/>
      <c r="I14" s="7">
        <v>4941</v>
      </c>
      <c r="J14" s="5">
        <v>31</v>
      </c>
      <c r="K14" s="5">
        <v>0.14199999999999999</v>
      </c>
      <c r="L14" s="6">
        <f t="shared" si="1"/>
        <v>0.31</v>
      </c>
      <c r="M14" s="6"/>
      <c r="N14" s="7">
        <v>4941</v>
      </c>
      <c r="O14" s="10">
        <v>0.107</v>
      </c>
      <c r="P14" s="9">
        <v>1.7986111111111113E-5</v>
      </c>
      <c r="Q14" s="5">
        <v>155.4</v>
      </c>
      <c r="R14" s="8">
        <f t="shared" si="2"/>
        <v>1.7986111111111113E-5</v>
      </c>
      <c r="S14" s="6"/>
      <c r="T14" s="7">
        <v>4941</v>
      </c>
      <c r="U14" s="5">
        <v>0.13500000000000001</v>
      </c>
      <c r="V14" s="5">
        <v>347.9</v>
      </c>
      <c r="W14" s="8">
        <f t="shared" si="3"/>
        <v>4.0266203703703703E-5</v>
      </c>
      <c r="X14" s="6"/>
    </row>
    <row r="15" spans="4:24" x14ac:dyDescent="0.25">
      <c r="D15" s="2">
        <v>4941</v>
      </c>
      <c r="E15" s="3">
        <v>26</v>
      </c>
      <c r="F15" s="5">
        <v>0.122</v>
      </c>
      <c r="G15" s="6">
        <f t="shared" si="0"/>
        <v>0.26</v>
      </c>
      <c r="H15" s="6"/>
      <c r="I15" s="7">
        <v>4941</v>
      </c>
      <c r="J15" s="5">
        <v>36</v>
      </c>
      <c r="K15" s="5">
        <v>9.6000000000000002E-2</v>
      </c>
      <c r="L15" s="6">
        <f t="shared" si="1"/>
        <v>0.36</v>
      </c>
      <c r="M15" s="6"/>
      <c r="N15" s="7">
        <v>4941</v>
      </c>
      <c r="O15" s="10">
        <v>0.11799999999999999</v>
      </c>
      <c r="P15" s="9">
        <v>2.1226851851851854E-5</v>
      </c>
      <c r="Q15" s="5">
        <v>183.4</v>
      </c>
      <c r="R15" s="8">
        <f t="shared" si="2"/>
        <v>2.1226851851851854E-5</v>
      </c>
      <c r="S15" s="6"/>
      <c r="T15" s="7">
        <v>4941</v>
      </c>
      <c r="U15" s="5">
        <v>0.14699999999999999</v>
      </c>
      <c r="V15" s="5">
        <v>398.7</v>
      </c>
      <c r="W15" s="8">
        <f t="shared" si="3"/>
        <v>4.6145833333333335E-5</v>
      </c>
      <c r="X15" s="6"/>
    </row>
    <row r="16" spans="4:24" x14ac:dyDescent="0.25">
      <c r="D16" s="2">
        <v>4941</v>
      </c>
      <c r="E16" s="3">
        <v>30</v>
      </c>
      <c r="F16" s="5">
        <v>0.108</v>
      </c>
      <c r="G16" s="6">
        <f t="shared" si="0"/>
        <v>0.3</v>
      </c>
      <c r="H16" s="6"/>
      <c r="I16" s="7">
        <v>4941</v>
      </c>
      <c r="J16" s="5">
        <v>38</v>
      </c>
      <c r="K16" s="5">
        <v>8.5999999999999993E-2</v>
      </c>
      <c r="L16" s="6">
        <f t="shared" si="1"/>
        <v>0.38</v>
      </c>
      <c r="M16" s="6"/>
      <c r="N16" s="7">
        <v>4941</v>
      </c>
      <c r="O16" s="10">
        <v>0.127</v>
      </c>
      <c r="P16" s="9">
        <v>2.4479166666666668E-5</v>
      </c>
      <c r="Q16" s="5">
        <v>211.5</v>
      </c>
      <c r="R16" s="8">
        <f t="shared" si="2"/>
        <v>2.4479166666666668E-5</v>
      </c>
      <c r="S16" s="6"/>
      <c r="T16" s="7">
        <v>4941</v>
      </c>
      <c r="U16" s="5">
        <v>0.158</v>
      </c>
      <c r="V16" s="5">
        <v>439.4</v>
      </c>
      <c r="W16" s="8">
        <f t="shared" si="3"/>
        <v>5.0856481481481477E-5</v>
      </c>
      <c r="X16" s="6"/>
    </row>
    <row r="17" spans="4:24" x14ac:dyDescent="0.25">
      <c r="D17" s="2">
        <v>4941</v>
      </c>
      <c r="E17" s="3">
        <v>31</v>
      </c>
      <c r="F17" s="5">
        <v>0.106</v>
      </c>
      <c r="G17" s="6">
        <f t="shared" si="0"/>
        <v>0.31</v>
      </c>
      <c r="H17" s="6"/>
      <c r="I17" s="6"/>
      <c r="J17" s="6"/>
      <c r="K17" s="6"/>
      <c r="L17" s="6"/>
      <c r="M17" s="6"/>
      <c r="N17" s="7">
        <v>4941</v>
      </c>
      <c r="O17" s="10">
        <v>0.13200000000000001</v>
      </c>
      <c r="P17" s="9">
        <v>2.6388888888888888E-5</v>
      </c>
      <c r="Q17" s="5">
        <v>228</v>
      </c>
      <c r="R17" s="8">
        <f t="shared" si="2"/>
        <v>2.6388888888888888E-5</v>
      </c>
      <c r="S17" s="6"/>
      <c r="T17" s="7">
        <v>4941</v>
      </c>
      <c r="U17" s="5">
        <v>0.17</v>
      </c>
      <c r="V17" s="5">
        <v>500.3</v>
      </c>
      <c r="W17" s="8">
        <f t="shared" si="3"/>
        <v>5.7905092592592592E-5</v>
      </c>
      <c r="X17" s="6"/>
    </row>
    <row r="18" spans="4:24" x14ac:dyDescent="0.25">
      <c r="D18" s="2">
        <v>4941</v>
      </c>
      <c r="E18" s="3">
        <v>38</v>
      </c>
      <c r="F18" s="5">
        <v>8.7999999999999995E-2</v>
      </c>
      <c r="G18" s="6">
        <f t="shared" si="0"/>
        <v>0.38</v>
      </c>
      <c r="H18" s="6"/>
      <c r="I18" s="6"/>
      <c r="J18" s="6"/>
      <c r="K18" s="6"/>
      <c r="L18" s="6"/>
      <c r="M18" s="6"/>
      <c r="N18" s="7">
        <v>4941</v>
      </c>
      <c r="O18" s="10">
        <v>0.14199999999999999</v>
      </c>
      <c r="P18" s="9">
        <v>3.0081018518518515E-5</v>
      </c>
      <c r="Q18" s="5">
        <v>259.89999999999998</v>
      </c>
      <c r="R18" s="8">
        <f t="shared" si="2"/>
        <v>3.0081018518518515E-5</v>
      </c>
      <c r="S18" s="6"/>
      <c r="T18" s="7">
        <v>4941</v>
      </c>
      <c r="U18" s="5">
        <v>0.18099999999999999</v>
      </c>
      <c r="V18" s="5">
        <v>556.20000000000005</v>
      </c>
      <c r="W18" s="8">
        <f t="shared" si="3"/>
        <v>6.4375000000000006E-5</v>
      </c>
      <c r="X18" s="6"/>
    </row>
    <row r="19" spans="4:24" x14ac:dyDescent="0.25">
      <c r="F19" s="6"/>
      <c r="G19" s="6"/>
      <c r="H19" s="6"/>
      <c r="I19" s="6"/>
      <c r="J19" s="6"/>
      <c r="K19" s="6"/>
      <c r="L19" s="6"/>
      <c r="M19" s="6"/>
      <c r="N19" s="7">
        <v>4941</v>
      </c>
      <c r="O19" s="10">
        <v>0.151</v>
      </c>
      <c r="P19" s="9">
        <v>3.3761574074074076E-5</v>
      </c>
      <c r="Q19" s="5">
        <v>291.7</v>
      </c>
      <c r="R19" s="8">
        <f t="shared" si="2"/>
        <v>3.3761574074074076E-5</v>
      </c>
      <c r="S19" s="6"/>
      <c r="T19" s="7">
        <v>4941</v>
      </c>
      <c r="U19" s="5">
        <v>0.188</v>
      </c>
      <c r="V19" s="5">
        <v>603.20000000000005</v>
      </c>
      <c r="W19" s="8">
        <f t="shared" si="3"/>
        <v>6.9814814814814815E-5</v>
      </c>
      <c r="X19" s="6"/>
    </row>
    <row r="20" spans="4:24" x14ac:dyDescent="0.25">
      <c r="F20" s="6"/>
      <c r="G20" s="6"/>
      <c r="H20" s="6"/>
      <c r="I20" s="6"/>
      <c r="J20" s="6"/>
      <c r="K20" s="6"/>
      <c r="L20" s="6"/>
      <c r="M20" s="6"/>
      <c r="N20" s="7">
        <v>4941</v>
      </c>
      <c r="O20" s="10">
        <v>0.159</v>
      </c>
      <c r="P20" s="9">
        <v>3.7592592592592593E-5</v>
      </c>
      <c r="Q20" s="5">
        <v>324.8</v>
      </c>
      <c r="R20" s="8">
        <f t="shared" si="2"/>
        <v>3.7592592592592593E-5</v>
      </c>
      <c r="S20" s="6"/>
      <c r="T20" s="7">
        <v>4941</v>
      </c>
      <c r="U20" s="5">
        <v>0.19600000000000001</v>
      </c>
      <c r="V20" s="5">
        <v>650.20000000000005</v>
      </c>
      <c r="W20" s="8">
        <f t="shared" si="3"/>
        <v>7.5254629629629638E-5</v>
      </c>
      <c r="X20" s="6"/>
    </row>
    <row r="21" spans="4:24" x14ac:dyDescent="0.25">
      <c r="F21" s="6"/>
      <c r="G21" s="6"/>
      <c r="H21" s="6"/>
      <c r="I21" s="6"/>
      <c r="J21" s="6"/>
      <c r="K21" s="6"/>
      <c r="L21" s="6"/>
      <c r="M21" s="6"/>
      <c r="N21" s="7">
        <v>4941</v>
      </c>
      <c r="O21" s="10">
        <v>0.16600000000000001</v>
      </c>
      <c r="P21" s="9">
        <v>4.1284722222222219E-5</v>
      </c>
      <c r="Q21" s="5">
        <v>356.7</v>
      </c>
      <c r="R21" s="8">
        <f t="shared" si="2"/>
        <v>4.1284722222222219E-5</v>
      </c>
      <c r="S21" s="6"/>
      <c r="T21" s="7">
        <v>4941</v>
      </c>
      <c r="U21" s="5">
        <v>0.20100000000000001</v>
      </c>
      <c r="V21" s="5">
        <v>687</v>
      </c>
      <c r="W21" s="8">
        <f t="shared" si="3"/>
        <v>7.9513888888888896E-5</v>
      </c>
      <c r="X21" s="6"/>
    </row>
    <row r="22" spans="4:24" x14ac:dyDescent="0.25">
      <c r="F22" s="6"/>
      <c r="G22" s="6"/>
      <c r="H22" s="6"/>
      <c r="I22" s="6"/>
      <c r="J22" s="6"/>
      <c r="K22" s="6"/>
      <c r="L22" s="6"/>
      <c r="M22" s="6"/>
      <c r="N22" s="7">
        <v>4941</v>
      </c>
      <c r="O22" s="10">
        <v>0.17199999999999999</v>
      </c>
      <c r="P22" s="9">
        <v>4.5115740740740743E-5</v>
      </c>
      <c r="Q22" s="5">
        <v>389.8</v>
      </c>
      <c r="R22" s="8">
        <f t="shared" si="2"/>
        <v>4.5115740740740743E-5</v>
      </c>
      <c r="S22" s="6"/>
      <c r="T22" s="7">
        <v>4941</v>
      </c>
      <c r="U22" s="5">
        <v>0.20699999999999999</v>
      </c>
      <c r="V22" s="5">
        <v>728.9</v>
      </c>
      <c r="W22" s="8">
        <f t="shared" si="3"/>
        <v>8.4363425925925922E-5</v>
      </c>
      <c r="X22" s="6"/>
    </row>
    <row r="23" spans="4:24" x14ac:dyDescent="0.25">
      <c r="F23" s="6"/>
      <c r="G23" s="6"/>
      <c r="H23" s="6"/>
      <c r="I23" s="6"/>
      <c r="J23" s="6"/>
      <c r="K23" s="6"/>
      <c r="L23" s="6"/>
      <c r="M23" s="6"/>
      <c r="N23" s="7">
        <v>4941</v>
      </c>
      <c r="O23" s="10">
        <v>0.18</v>
      </c>
      <c r="P23" s="9">
        <v>5.0717592592592593E-5</v>
      </c>
      <c r="Q23" s="5">
        <v>438.2</v>
      </c>
      <c r="R23" s="8">
        <f t="shared" si="2"/>
        <v>5.0717592592592593E-5</v>
      </c>
      <c r="S23" s="6"/>
      <c r="T23" s="7">
        <v>4941</v>
      </c>
      <c r="U23" s="5">
        <v>0.214</v>
      </c>
      <c r="V23" s="5">
        <v>772.1</v>
      </c>
      <c r="W23" s="8">
        <f t="shared" si="3"/>
        <v>8.9363425925925922E-5</v>
      </c>
      <c r="X23" s="6"/>
    </row>
    <row r="24" spans="4:24" x14ac:dyDescent="0.25">
      <c r="F24" s="6"/>
      <c r="G24" s="6"/>
      <c r="H24" s="6"/>
      <c r="I24" s="6"/>
      <c r="J24" s="6"/>
      <c r="K24" s="6"/>
      <c r="L24" s="6"/>
      <c r="M24" s="6"/>
      <c r="N24" s="7">
        <v>4941</v>
      </c>
      <c r="O24" s="10">
        <v>0.185</v>
      </c>
      <c r="P24" s="9">
        <v>5.454861111111111E-5</v>
      </c>
      <c r="Q24" s="5">
        <v>471.3</v>
      </c>
      <c r="R24" s="8">
        <f t="shared" si="2"/>
        <v>5.454861111111111E-5</v>
      </c>
      <c r="S24" s="6"/>
      <c r="T24" s="7">
        <v>4941</v>
      </c>
      <c r="U24" s="5">
        <v>0.223</v>
      </c>
      <c r="V24" s="5">
        <v>827.9</v>
      </c>
      <c r="W24" s="8">
        <f t="shared" si="3"/>
        <v>9.5821759259259254E-5</v>
      </c>
      <c r="X24" s="6"/>
    </row>
    <row r="25" spans="4:24" x14ac:dyDescent="0.25">
      <c r="F25" s="6"/>
      <c r="G25" s="6"/>
      <c r="H25" s="6"/>
      <c r="I25" s="6"/>
      <c r="J25" s="6"/>
      <c r="K25" s="6"/>
      <c r="L25" s="6"/>
      <c r="M25" s="6"/>
      <c r="N25" s="7">
        <v>4941</v>
      </c>
      <c r="O25" s="10">
        <v>0.188</v>
      </c>
      <c r="P25" s="9">
        <v>5.7060185185185186E-5</v>
      </c>
      <c r="Q25" s="5">
        <v>493</v>
      </c>
      <c r="R25" s="8">
        <f t="shared" si="2"/>
        <v>5.7060185185185186E-5</v>
      </c>
      <c r="S25" s="6"/>
      <c r="T25" s="7">
        <v>4941</v>
      </c>
      <c r="U25" s="5">
        <v>0.22700000000000001</v>
      </c>
      <c r="V25" s="5">
        <v>868.6</v>
      </c>
      <c r="W25" s="8">
        <f t="shared" si="3"/>
        <v>1.005324074074074E-4</v>
      </c>
      <c r="X25" s="6"/>
    </row>
    <row r="26" spans="4:24" x14ac:dyDescent="0.25">
      <c r="F26" s="6"/>
      <c r="G26" s="6"/>
      <c r="H26" s="6"/>
      <c r="I26" s="6"/>
      <c r="J26" s="6"/>
      <c r="K26" s="6"/>
      <c r="L26" s="6"/>
      <c r="M26" s="6"/>
      <c r="N26" s="7">
        <v>4941</v>
      </c>
      <c r="O26" s="10">
        <v>0.19400000000000001</v>
      </c>
      <c r="P26" s="9">
        <v>6.0451388888888886E-5</v>
      </c>
      <c r="Q26" s="5">
        <v>522.29999999999995</v>
      </c>
      <c r="R26" s="8">
        <f t="shared" si="2"/>
        <v>6.0451388888888886E-5</v>
      </c>
      <c r="S26" s="6"/>
      <c r="T26" s="7">
        <v>4941</v>
      </c>
      <c r="U26" s="5">
        <v>0.23200000000000001</v>
      </c>
      <c r="V26" s="5">
        <v>921.9</v>
      </c>
      <c r="W26" s="8">
        <f t="shared" si="3"/>
        <v>1.0670138888888889E-4</v>
      </c>
      <c r="X26" s="6"/>
    </row>
    <row r="27" spans="4:24" x14ac:dyDescent="0.25">
      <c r="F27" s="6"/>
      <c r="G27" s="6"/>
      <c r="H27" s="6"/>
      <c r="I27" s="6"/>
      <c r="J27" s="6"/>
      <c r="K27" s="6"/>
      <c r="L27" s="6"/>
      <c r="M27" s="6"/>
      <c r="N27" s="7">
        <v>4941</v>
      </c>
      <c r="O27" s="10">
        <v>0.20100000000000001</v>
      </c>
      <c r="P27" s="9">
        <v>6.7523148148148152E-5</v>
      </c>
      <c r="Q27" s="5">
        <v>583.4</v>
      </c>
      <c r="R27" s="8">
        <f t="shared" si="2"/>
        <v>6.7523148148148152E-5</v>
      </c>
      <c r="S27" s="6"/>
      <c r="T27" s="7">
        <v>4941</v>
      </c>
      <c r="U27" s="5">
        <v>0.24</v>
      </c>
      <c r="V27" s="5">
        <v>975.2</v>
      </c>
      <c r="W27" s="8">
        <f t="shared" si="3"/>
        <v>1.1287037037037038E-4</v>
      </c>
      <c r="X27" s="6"/>
    </row>
    <row r="28" spans="4:24" x14ac:dyDescent="0.25">
      <c r="F28" s="6"/>
      <c r="G28" s="6"/>
      <c r="H28" s="6"/>
      <c r="I28" s="6"/>
      <c r="J28" s="6"/>
      <c r="K28" s="6"/>
      <c r="L28" s="6"/>
      <c r="M28" s="6"/>
      <c r="N28" s="7">
        <v>4941</v>
      </c>
      <c r="O28" s="10">
        <v>0.20899999999999999</v>
      </c>
      <c r="P28" s="9">
        <v>7.5787037037037037E-5</v>
      </c>
      <c r="Q28" s="5">
        <v>654.79999999999995</v>
      </c>
      <c r="R28" s="8">
        <f t="shared" si="2"/>
        <v>7.5787037037037037E-5</v>
      </c>
      <c r="S28" s="6"/>
      <c r="T28" s="6"/>
      <c r="U28" s="6"/>
      <c r="V28" s="6"/>
      <c r="W28" s="6"/>
      <c r="X28" s="6"/>
    </row>
    <row r="29" spans="4:24" x14ac:dyDescent="0.25">
      <c r="F29" s="6"/>
      <c r="G29" s="6"/>
      <c r="H29" s="6"/>
      <c r="I29" s="6"/>
      <c r="J29" s="6"/>
      <c r="K29" s="6"/>
      <c r="L29" s="6"/>
      <c r="M29" s="6"/>
      <c r="N29" s="7">
        <v>4941</v>
      </c>
      <c r="O29" s="10">
        <v>0.217</v>
      </c>
      <c r="P29" s="9">
        <v>8.3449074074074071E-5</v>
      </c>
      <c r="Q29" s="5">
        <v>721</v>
      </c>
      <c r="R29" s="8">
        <f t="shared" si="2"/>
        <v>8.3449074074074071E-5</v>
      </c>
      <c r="S29" s="6"/>
      <c r="T29" s="6"/>
      <c r="U29" s="6"/>
      <c r="V29" s="6"/>
      <c r="W29" s="6"/>
      <c r="X29" s="6"/>
    </row>
    <row r="30" spans="4:24" x14ac:dyDescent="0.25">
      <c r="F30" s="6"/>
      <c r="G30" s="6"/>
      <c r="H30" s="6"/>
      <c r="I30" s="6"/>
      <c r="J30" s="6"/>
      <c r="K30" s="6"/>
      <c r="L30" s="6"/>
      <c r="M30" s="6"/>
      <c r="N30" s="7">
        <v>4941</v>
      </c>
      <c r="O30" s="10">
        <v>0.22500000000000001</v>
      </c>
      <c r="P30" s="9">
        <v>9.0821759259259268E-5</v>
      </c>
      <c r="Q30" s="5">
        <v>784.7</v>
      </c>
      <c r="R30" s="8">
        <f t="shared" si="2"/>
        <v>9.0821759259259268E-5</v>
      </c>
      <c r="S30" s="6"/>
      <c r="T30" s="6"/>
      <c r="U30" s="6"/>
      <c r="V30" s="6"/>
      <c r="W30" s="6"/>
      <c r="X30" s="6"/>
    </row>
    <row r="31" spans="4:24" x14ac:dyDescent="0.25">
      <c r="F31" s="6"/>
      <c r="G31" s="6"/>
      <c r="H31" s="6"/>
      <c r="I31" s="6"/>
      <c r="J31" s="6"/>
      <c r="K31" s="6"/>
      <c r="L31" s="6"/>
      <c r="M31" s="6"/>
      <c r="N31" s="7">
        <v>4941</v>
      </c>
      <c r="O31" s="10">
        <v>0.23200000000000001</v>
      </c>
      <c r="P31" s="9">
        <v>9.9525462962962962E-5</v>
      </c>
      <c r="Q31" s="5">
        <v>859.9</v>
      </c>
      <c r="R31" s="8">
        <f t="shared" si="2"/>
        <v>9.9525462962962962E-5</v>
      </c>
      <c r="S31" s="6"/>
      <c r="T31" s="6"/>
      <c r="U31" s="6"/>
      <c r="V31" s="6"/>
      <c r="W31" s="6"/>
      <c r="X31" s="6"/>
    </row>
    <row r="32" spans="4:24" x14ac:dyDescent="0.25"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2015-06-05T18:17:20Z</dcterms:created>
  <dcterms:modified xsi:type="dcterms:W3CDTF">2026-07-20T13:32:22Z</dcterms:modified>
</cp:coreProperties>
</file>