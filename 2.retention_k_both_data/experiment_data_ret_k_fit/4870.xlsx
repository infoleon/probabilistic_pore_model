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_trabalho\publicacoes\_new_pore_model\material\data_fit\"/>
    </mc:Choice>
  </mc:AlternateContent>
  <xr:revisionPtr revIDLastSave="0" documentId="13_ncr:1_{3AB4C56A-4883-4650-9616-6BAB165B443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1" l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4" i="1"/>
  <c r="W1" i="1"/>
  <c r="V1" i="1"/>
  <c r="W2" i="1" s="1"/>
  <c r="S19" i="1" l="1"/>
  <c r="S4" i="1"/>
  <c r="S5" i="1"/>
  <c r="S6" i="1"/>
  <c r="S7" i="1"/>
  <c r="S8" i="1"/>
  <c r="S9" i="1"/>
  <c r="S10" i="1"/>
  <c r="S11" i="1"/>
  <c r="S12" i="1"/>
  <c r="S13" i="1"/>
  <c r="S14" i="1"/>
  <c r="S15" i="1"/>
  <c r="S17" i="1"/>
  <c r="S16" i="1"/>
  <c r="S18" i="1"/>
</calcChain>
</file>

<file path=xl/sharedStrings.xml><?xml version="1.0" encoding="utf-8"?>
<sst xmlns="http://schemas.openxmlformats.org/spreadsheetml/2006/main" count="16" uniqueCount="8">
  <si>
    <t>code</t>
  </si>
  <si>
    <t>theta</t>
  </si>
  <si>
    <t>conductivity</t>
  </si>
  <si>
    <t>drying</t>
  </si>
  <si>
    <t>preshead</t>
  </si>
  <si>
    <t>wetting</t>
  </si>
  <si>
    <t>h_m</t>
  </si>
  <si>
    <t>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</si>
</sst>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0" fontId="1" fillId="2" borderId="0" xfId="1" applyFont="1" applyFill="1" applyAlignment="1">
      <alignment horizontal="center"/>
    </xf>
  </cellXfs>
  <cellStyles count="2">
    <cellStyle name="Normal" xfId="0" builtinId="0"/>
    <cellStyle name="Normal_Sheet1" xfId="1" xr:uid="{298C6251-6DD4-4381-9215-32553CAA11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W20"/>
  <sheetViews>
    <sheetView tabSelected="1" workbookViewId="0">
      <selection activeCell="J4" sqref="J4:K20"/>
    </sheetView>
  </sheetViews>
  <sheetFormatPr defaultRowHeight="15" x14ac:dyDescent="0.25"/>
  <cols>
    <col min="17" max="17" width="16.85546875" customWidth="1"/>
    <col min="19" max="19" width="12" bestFit="1" customWidth="1"/>
  </cols>
  <sheetData>
    <row r="1" spans="3:23" x14ac:dyDescent="0.25">
      <c r="G1">
        <v>100</v>
      </c>
      <c r="V1">
        <f>100</f>
        <v>100</v>
      </c>
      <c r="W1">
        <f>24*60*60</f>
        <v>86400</v>
      </c>
    </row>
    <row r="2" spans="3:23" x14ac:dyDescent="0.25">
      <c r="D2" t="s">
        <v>3</v>
      </c>
      <c r="H2" t="s">
        <v>5</v>
      </c>
      <c r="O2" t="s">
        <v>3</v>
      </c>
      <c r="W2">
        <f>V1*W1</f>
        <v>8640000</v>
      </c>
    </row>
    <row r="3" spans="3:23" x14ac:dyDescent="0.25">
      <c r="C3" s="1" t="s">
        <v>0</v>
      </c>
      <c r="D3" s="1" t="s">
        <v>4</v>
      </c>
      <c r="E3" s="1" t="s">
        <v>1</v>
      </c>
      <c r="F3" s="4" t="s">
        <v>6</v>
      </c>
      <c r="H3" s="1" t="s">
        <v>0</v>
      </c>
      <c r="I3" s="1" t="s">
        <v>4</v>
      </c>
      <c r="J3" s="1" t="s">
        <v>1</v>
      </c>
      <c r="K3" s="4" t="s">
        <v>6</v>
      </c>
      <c r="O3" s="1" t="s">
        <v>0</v>
      </c>
      <c r="P3" s="1" t="s">
        <v>1</v>
      </c>
      <c r="Q3" s="1" t="s">
        <v>7</v>
      </c>
      <c r="R3" s="1" t="s">
        <v>2</v>
      </c>
      <c r="S3" s="4" t="s">
        <v>7</v>
      </c>
    </row>
    <row r="4" spans="3:23" x14ac:dyDescent="0.25">
      <c r="C4" s="2">
        <v>4870</v>
      </c>
      <c r="D4" s="3">
        <v>14060</v>
      </c>
      <c r="E4" s="3">
        <v>0.17199999999999999</v>
      </c>
      <c r="F4">
        <f>D4/$G$1</f>
        <v>140.6</v>
      </c>
      <c r="H4" s="2">
        <v>4870</v>
      </c>
      <c r="I4" s="3">
        <v>539500</v>
      </c>
      <c r="J4" s="3">
        <v>4.3999999999999997E-2</v>
      </c>
      <c r="K4">
        <f>I4/$G$1</f>
        <v>5395</v>
      </c>
      <c r="O4" s="2">
        <v>4870</v>
      </c>
      <c r="P4" s="3">
        <v>0.32500000000000001</v>
      </c>
      <c r="Q4" s="3">
        <v>1.2094907407407406E-9</v>
      </c>
      <c r="R4" s="3">
        <v>1.0449999999999999E-2</v>
      </c>
      <c r="S4">
        <f>R4/$W$2</f>
        <v>1.2094907407407406E-9</v>
      </c>
    </row>
    <row r="5" spans="3:23" x14ac:dyDescent="0.25">
      <c r="C5" s="2">
        <v>4870</v>
      </c>
      <c r="D5" s="3">
        <v>7261</v>
      </c>
      <c r="E5" s="3">
        <v>0.19500000000000001</v>
      </c>
      <c r="F5">
        <f t="shared" ref="F5:F20" si="0">D5/$G$1</f>
        <v>72.61</v>
      </c>
      <c r="H5" s="2">
        <v>4870</v>
      </c>
      <c r="I5" s="3">
        <v>299900</v>
      </c>
      <c r="J5" s="3">
        <v>5.3999999999999999E-2</v>
      </c>
      <c r="K5">
        <f t="shared" ref="K5:K20" si="1">I5/$G$1</f>
        <v>2999</v>
      </c>
      <c r="O5" s="2">
        <v>4870</v>
      </c>
      <c r="P5" s="3">
        <v>0.34200000000000003</v>
      </c>
      <c r="Q5" s="3">
        <v>1.7766203703703705E-9</v>
      </c>
      <c r="R5" s="3">
        <v>1.5350000000000001E-2</v>
      </c>
      <c r="S5">
        <f t="shared" ref="S5:S19" si="2">R5/$W$2</f>
        <v>1.7766203703703705E-9</v>
      </c>
    </row>
    <row r="6" spans="3:23" x14ac:dyDescent="0.25">
      <c r="C6" s="2">
        <v>4870</v>
      </c>
      <c r="D6" s="3">
        <v>3631</v>
      </c>
      <c r="E6" s="3">
        <v>0.22</v>
      </c>
      <c r="F6">
        <f t="shared" si="0"/>
        <v>36.31</v>
      </c>
      <c r="H6" s="2">
        <v>4870</v>
      </c>
      <c r="I6" s="3">
        <v>188800</v>
      </c>
      <c r="J6" s="3">
        <v>6.3E-2</v>
      </c>
      <c r="K6">
        <f t="shared" si="1"/>
        <v>1888</v>
      </c>
      <c r="O6" s="2">
        <v>4870</v>
      </c>
      <c r="P6" s="3">
        <v>0.35099999999999998</v>
      </c>
      <c r="Q6" s="3">
        <v>3.2847222222222221E-9</v>
      </c>
      <c r="R6" s="3">
        <v>2.8379999999999999E-2</v>
      </c>
      <c r="S6">
        <f t="shared" si="2"/>
        <v>3.2847222222222221E-9</v>
      </c>
    </row>
    <row r="7" spans="3:23" x14ac:dyDescent="0.25">
      <c r="C7" s="2">
        <v>4870</v>
      </c>
      <c r="D7" s="3">
        <v>2884</v>
      </c>
      <c r="E7" s="3">
        <v>0.23100000000000001</v>
      </c>
      <c r="F7">
        <f t="shared" si="0"/>
        <v>28.84</v>
      </c>
      <c r="H7" s="2">
        <v>4870</v>
      </c>
      <c r="I7" s="3">
        <v>100200</v>
      </c>
      <c r="J7" s="3">
        <v>7.2999999999999995E-2</v>
      </c>
      <c r="K7">
        <f t="shared" si="1"/>
        <v>1002</v>
      </c>
      <c r="O7" s="2">
        <v>4870</v>
      </c>
      <c r="P7" s="3">
        <v>0.35099999999999998</v>
      </c>
      <c r="Q7" s="3">
        <v>3.5520833333333333E-9</v>
      </c>
      <c r="R7" s="3">
        <v>3.0689999999999999E-2</v>
      </c>
      <c r="S7">
        <f t="shared" si="2"/>
        <v>3.5520833333333333E-9</v>
      </c>
    </row>
    <row r="8" spans="3:23" x14ac:dyDescent="0.25">
      <c r="C8" s="2">
        <v>4870</v>
      </c>
      <c r="D8" s="3">
        <v>2399</v>
      </c>
      <c r="E8" s="3">
        <v>0.24299999999999999</v>
      </c>
      <c r="F8">
        <f t="shared" si="0"/>
        <v>23.99</v>
      </c>
      <c r="H8" s="2">
        <v>4870</v>
      </c>
      <c r="I8" s="3">
        <v>55850</v>
      </c>
      <c r="J8" s="3">
        <v>9.1999999999999998E-2</v>
      </c>
      <c r="K8">
        <f t="shared" si="1"/>
        <v>558.5</v>
      </c>
      <c r="O8" s="2">
        <v>4870</v>
      </c>
      <c r="P8" s="3">
        <v>0.35899999999999999</v>
      </c>
      <c r="Q8" s="3">
        <v>6.3171296296296289E-9</v>
      </c>
      <c r="R8" s="3">
        <v>5.4579999999999997E-2</v>
      </c>
      <c r="S8">
        <f t="shared" si="2"/>
        <v>6.3171296296296289E-9</v>
      </c>
    </row>
    <row r="9" spans="3:23" x14ac:dyDescent="0.25">
      <c r="C9" s="2">
        <v>4870</v>
      </c>
      <c r="D9" s="3">
        <v>1236</v>
      </c>
      <c r="E9" s="3">
        <v>0.26500000000000001</v>
      </c>
      <c r="F9">
        <f t="shared" si="0"/>
        <v>12.36</v>
      </c>
      <c r="H9" s="2">
        <v>4870</v>
      </c>
      <c r="I9" s="3">
        <v>30550</v>
      </c>
      <c r="J9" s="3">
        <v>0.10299999999999999</v>
      </c>
      <c r="K9">
        <f t="shared" si="1"/>
        <v>305.5</v>
      </c>
      <c r="O9" s="2">
        <v>4870</v>
      </c>
      <c r="P9" s="3">
        <v>0.37</v>
      </c>
      <c r="Q9" s="3">
        <v>1.3888888888888889E-8</v>
      </c>
      <c r="R9" s="3">
        <v>0.12</v>
      </c>
      <c r="S9">
        <f t="shared" si="2"/>
        <v>1.3888888888888889E-8</v>
      </c>
    </row>
    <row r="10" spans="3:23" x14ac:dyDescent="0.25">
      <c r="C10" s="2">
        <v>4870</v>
      </c>
      <c r="D10" s="3">
        <v>679</v>
      </c>
      <c r="E10" s="3">
        <v>0.29099999999999998</v>
      </c>
      <c r="F10">
        <f t="shared" si="0"/>
        <v>6.79</v>
      </c>
      <c r="H10" s="2">
        <v>4870</v>
      </c>
      <c r="I10" s="3">
        <v>11040</v>
      </c>
      <c r="J10" s="3">
        <v>0.115</v>
      </c>
      <c r="K10">
        <f t="shared" si="1"/>
        <v>110.4</v>
      </c>
      <c r="O10" s="2">
        <v>4870</v>
      </c>
      <c r="P10" s="3">
        <v>0.38300000000000001</v>
      </c>
      <c r="Q10" s="3">
        <v>9.2789351851851861E-9</v>
      </c>
      <c r="R10" s="3">
        <v>8.0170000000000005E-2</v>
      </c>
      <c r="S10">
        <f t="shared" si="2"/>
        <v>9.2789351851851861E-9</v>
      </c>
    </row>
    <row r="11" spans="3:23" x14ac:dyDescent="0.25">
      <c r="C11" s="2">
        <v>4870</v>
      </c>
      <c r="D11" s="3">
        <v>408</v>
      </c>
      <c r="E11" s="3">
        <v>0.315</v>
      </c>
      <c r="F11">
        <f t="shared" si="0"/>
        <v>4.08</v>
      </c>
      <c r="H11" s="2">
        <v>4870</v>
      </c>
      <c r="I11" s="3">
        <v>259</v>
      </c>
      <c r="J11" s="3">
        <v>0.26700000000000002</v>
      </c>
      <c r="K11">
        <f t="shared" si="1"/>
        <v>2.59</v>
      </c>
      <c r="O11" s="2">
        <v>4870</v>
      </c>
      <c r="P11" s="3">
        <v>0.40500000000000003</v>
      </c>
      <c r="Q11" s="3">
        <v>3.9212962962962962E-8</v>
      </c>
      <c r="R11" s="3">
        <v>0.33879999999999999</v>
      </c>
      <c r="S11">
        <f t="shared" si="2"/>
        <v>3.9212962962962962E-8</v>
      </c>
    </row>
    <row r="12" spans="3:23" x14ac:dyDescent="0.25">
      <c r="C12" s="2">
        <v>4870</v>
      </c>
      <c r="D12" s="3">
        <v>310</v>
      </c>
      <c r="E12" s="3">
        <v>0.33700000000000002</v>
      </c>
      <c r="F12">
        <f t="shared" si="0"/>
        <v>3.1</v>
      </c>
      <c r="H12" s="2">
        <v>4870</v>
      </c>
      <c r="I12" s="3">
        <v>177</v>
      </c>
      <c r="J12" s="3">
        <v>0.29199999999999998</v>
      </c>
      <c r="K12">
        <f t="shared" si="1"/>
        <v>1.77</v>
      </c>
      <c r="O12" s="2">
        <v>4870</v>
      </c>
      <c r="P12" s="3">
        <v>0.41299999999999998</v>
      </c>
      <c r="Q12" s="3">
        <v>6.3460648148148149E-8</v>
      </c>
      <c r="R12" s="3">
        <v>0.54830000000000001</v>
      </c>
      <c r="S12">
        <f t="shared" si="2"/>
        <v>6.3460648148148149E-8</v>
      </c>
    </row>
    <row r="13" spans="3:23" x14ac:dyDescent="0.25">
      <c r="C13" s="2">
        <v>4870</v>
      </c>
      <c r="D13" s="3">
        <v>211</v>
      </c>
      <c r="E13" s="3">
        <v>0.36</v>
      </c>
      <c r="F13">
        <f t="shared" si="0"/>
        <v>2.11</v>
      </c>
      <c r="H13" s="2">
        <v>4870</v>
      </c>
      <c r="I13" s="3">
        <v>132</v>
      </c>
      <c r="J13" s="3">
        <v>0.314</v>
      </c>
      <c r="K13">
        <f t="shared" si="1"/>
        <v>1.32</v>
      </c>
      <c r="O13" s="2">
        <v>4870</v>
      </c>
      <c r="P13" s="3">
        <v>0.434</v>
      </c>
      <c r="Q13" s="3">
        <v>1.9699074074074074E-7</v>
      </c>
      <c r="R13" s="3">
        <v>1.702</v>
      </c>
      <c r="S13">
        <f t="shared" si="2"/>
        <v>1.9699074074074074E-7</v>
      </c>
    </row>
    <row r="14" spans="3:23" x14ac:dyDescent="0.25">
      <c r="C14" s="2">
        <v>4870</v>
      </c>
      <c r="D14" s="3">
        <v>162</v>
      </c>
      <c r="E14" s="3">
        <v>0.38500000000000001</v>
      </c>
      <c r="F14">
        <f t="shared" si="0"/>
        <v>1.62</v>
      </c>
      <c r="H14" s="2">
        <v>4870</v>
      </c>
      <c r="I14" s="3">
        <v>95</v>
      </c>
      <c r="J14" s="3">
        <v>0.33800000000000002</v>
      </c>
      <c r="K14">
        <f t="shared" si="1"/>
        <v>0.95</v>
      </c>
      <c r="O14" s="2">
        <v>4870</v>
      </c>
      <c r="P14" s="3">
        <v>0.45400000000000001</v>
      </c>
      <c r="Q14" s="3">
        <v>3.8587962962962965E-7</v>
      </c>
      <c r="R14" s="3">
        <v>3.3340000000000001</v>
      </c>
      <c r="S14">
        <f t="shared" si="2"/>
        <v>3.8587962962962965E-7</v>
      </c>
    </row>
    <row r="15" spans="3:23" x14ac:dyDescent="0.25">
      <c r="C15" s="2">
        <v>4870</v>
      </c>
      <c r="D15" s="3">
        <v>133</v>
      </c>
      <c r="E15" s="3">
        <v>0.40799999999999997</v>
      </c>
      <c r="F15">
        <f t="shared" si="0"/>
        <v>1.33</v>
      </c>
      <c r="H15" s="2">
        <v>4870</v>
      </c>
      <c r="I15" s="3">
        <v>68</v>
      </c>
      <c r="J15" s="3">
        <v>0.36199999999999999</v>
      </c>
      <c r="K15">
        <f t="shared" si="1"/>
        <v>0.68</v>
      </c>
      <c r="O15" s="2">
        <v>4870</v>
      </c>
      <c r="P15" s="3">
        <v>0.45900000000000002</v>
      </c>
      <c r="Q15" s="3">
        <v>4.3298611111111112E-7</v>
      </c>
      <c r="R15" s="3">
        <v>3.7410000000000001</v>
      </c>
      <c r="S15">
        <f t="shared" si="2"/>
        <v>4.3298611111111112E-7</v>
      </c>
    </row>
    <row r="16" spans="3:23" x14ac:dyDescent="0.25">
      <c r="C16" s="2">
        <v>4870</v>
      </c>
      <c r="D16" s="3">
        <v>107</v>
      </c>
      <c r="E16" s="3">
        <v>0.434</v>
      </c>
      <c r="F16">
        <f t="shared" si="0"/>
        <v>1.07</v>
      </c>
      <c r="H16" s="2">
        <v>4870</v>
      </c>
      <c r="I16" s="3">
        <v>50</v>
      </c>
      <c r="J16" s="3">
        <v>0.38500000000000001</v>
      </c>
      <c r="K16">
        <f t="shared" si="1"/>
        <v>0.5</v>
      </c>
      <c r="O16" s="2">
        <v>4870</v>
      </c>
      <c r="P16" s="3">
        <v>0.47499999999999998</v>
      </c>
      <c r="Q16" s="3">
        <v>5.1458333333333331E-7</v>
      </c>
      <c r="R16" s="3">
        <v>4.4459999999999997</v>
      </c>
      <c r="S16">
        <f t="shared" si="2"/>
        <v>5.1458333333333331E-7</v>
      </c>
    </row>
    <row r="17" spans="3:19" x14ac:dyDescent="0.25">
      <c r="C17" s="2">
        <v>4870</v>
      </c>
      <c r="D17" s="3">
        <v>95</v>
      </c>
      <c r="E17" s="3">
        <v>0.44600000000000001</v>
      </c>
      <c r="F17">
        <f t="shared" si="0"/>
        <v>0.95</v>
      </c>
      <c r="H17" s="2">
        <v>4870</v>
      </c>
      <c r="I17" s="3">
        <v>35</v>
      </c>
      <c r="J17" s="3">
        <v>0.40899999999999997</v>
      </c>
      <c r="K17">
        <f t="shared" si="1"/>
        <v>0.35</v>
      </c>
      <c r="O17" s="2">
        <v>4870</v>
      </c>
      <c r="P17" s="3">
        <v>0.47699999999999998</v>
      </c>
      <c r="Q17" s="3">
        <v>6.8622685185185191E-7</v>
      </c>
      <c r="R17" s="3">
        <v>5.9290000000000003</v>
      </c>
      <c r="S17">
        <f t="shared" si="2"/>
        <v>6.8622685185185191E-7</v>
      </c>
    </row>
    <row r="18" spans="3:19" x14ac:dyDescent="0.25">
      <c r="C18" s="2">
        <v>4870</v>
      </c>
      <c r="D18" s="3">
        <v>49</v>
      </c>
      <c r="E18" s="3">
        <v>0.45800000000000002</v>
      </c>
      <c r="F18">
        <f t="shared" si="0"/>
        <v>0.49</v>
      </c>
      <c r="H18" s="2">
        <v>4870</v>
      </c>
      <c r="I18" s="3">
        <v>25</v>
      </c>
      <c r="J18" s="3">
        <v>0.432</v>
      </c>
      <c r="K18">
        <f t="shared" si="1"/>
        <v>0.25</v>
      </c>
      <c r="O18" s="2">
        <v>4870</v>
      </c>
      <c r="P18" s="3">
        <v>0.48899999999999999</v>
      </c>
      <c r="Q18" s="3">
        <v>1.480324074074074E-6</v>
      </c>
      <c r="R18" s="3">
        <v>12.79</v>
      </c>
      <c r="S18">
        <f t="shared" si="2"/>
        <v>1.480324074074074E-6</v>
      </c>
    </row>
    <row r="19" spans="3:19" x14ac:dyDescent="0.25">
      <c r="C19" s="2">
        <v>4870</v>
      </c>
      <c r="D19" s="3">
        <v>24</v>
      </c>
      <c r="E19" s="3">
        <v>0.46600000000000003</v>
      </c>
      <c r="F19">
        <f t="shared" si="0"/>
        <v>0.24</v>
      </c>
      <c r="H19" s="2">
        <v>4870</v>
      </c>
      <c r="I19" s="3">
        <v>20</v>
      </c>
      <c r="J19" s="3">
        <v>0.44400000000000001</v>
      </c>
      <c r="K19">
        <f t="shared" si="1"/>
        <v>0.2</v>
      </c>
      <c r="O19" s="2">
        <v>4870</v>
      </c>
      <c r="P19" s="3">
        <v>0.48799999999999999</v>
      </c>
      <c r="Q19" s="3">
        <v>1.9386574074074075E-6</v>
      </c>
      <c r="R19" s="3">
        <v>16.75</v>
      </c>
      <c r="S19">
        <f t="shared" si="2"/>
        <v>1.9386574074074075E-6</v>
      </c>
    </row>
    <row r="20" spans="3:19" x14ac:dyDescent="0.25">
      <c r="F20">
        <f t="shared" si="0"/>
        <v>0</v>
      </c>
      <c r="H20" s="2">
        <v>4870</v>
      </c>
      <c r="I20" s="3">
        <v>16</v>
      </c>
      <c r="J20" s="3">
        <v>0.45700000000000002</v>
      </c>
      <c r="K20">
        <f t="shared" si="1"/>
        <v>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L</cp:lastModifiedBy>
  <dcterms:created xsi:type="dcterms:W3CDTF">2015-06-05T18:17:20Z</dcterms:created>
  <dcterms:modified xsi:type="dcterms:W3CDTF">2026-07-20T13:36:13Z</dcterms:modified>
</cp:coreProperties>
</file>