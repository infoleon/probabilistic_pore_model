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trabalho\publicacoes\_new_pore_model\material\data_fit\"/>
    </mc:Choice>
  </mc:AlternateContent>
  <xr:revisionPtr revIDLastSave="0" documentId="13_ncr:1_{3C7AD980-8ADB-4406-90F5-4BF2C060A2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6" i="1"/>
  <c r="T2" i="1"/>
  <c r="S2" i="1"/>
  <c r="T3" i="1" s="1"/>
  <c r="J4" i="1"/>
  <c r="J5" i="1"/>
  <c r="J6" i="1"/>
  <c r="J7" i="1"/>
  <c r="J8" i="1"/>
  <c r="J9" i="1"/>
  <c r="J10" i="1"/>
  <c r="J3" i="1"/>
  <c r="E5" i="1"/>
  <c r="E6" i="1"/>
  <c r="E7" i="1"/>
  <c r="E8" i="1"/>
  <c r="E9" i="1"/>
  <c r="E10" i="1"/>
  <c r="E11" i="1"/>
  <c r="E4" i="1"/>
</calcChain>
</file>

<file path=xl/sharedStrings.xml><?xml version="1.0" encoding="utf-8"?>
<sst xmlns="http://schemas.openxmlformats.org/spreadsheetml/2006/main" count="15" uniqueCount="9">
  <si>
    <t>code</t>
  </si>
  <si>
    <t>theta</t>
  </si>
  <si>
    <t>conductivity</t>
  </si>
  <si>
    <t>drying-field</t>
  </si>
  <si>
    <t>preshead</t>
  </si>
  <si>
    <t>wetting</t>
  </si>
  <si>
    <t>drying</t>
  </si>
  <si>
    <t>h_m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</si>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</sst>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2" borderId="0" xfId="1" applyFont="1" applyFill="1" applyAlignment="1">
      <alignment horizontal="center"/>
    </xf>
  </cellXfs>
  <cellStyles count="2">
    <cellStyle name="Normal" xfId="0" builtinId="0"/>
    <cellStyle name="Normal_Sheet1" xfId="1" xr:uid="{E6999BC3-17A0-4896-8F13-80BEE7379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0"/>
  <sheetViews>
    <sheetView tabSelected="1" workbookViewId="0">
      <selection activeCell="I16" sqref="I16"/>
    </sheetView>
  </sheetViews>
  <sheetFormatPr defaultRowHeight="15" x14ac:dyDescent="0.25"/>
  <cols>
    <col min="16" max="16" width="12" bestFit="1" customWidth="1"/>
  </cols>
  <sheetData>
    <row r="1" spans="2:20" x14ac:dyDescent="0.25">
      <c r="B1" t="s">
        <v>5</v>
      </c>
      <c r="D1">
        <v>100</v>
      </c>
      <c r="G1" t="s">
        <v>6</v>
      </c>
    </row>
    <row r="2" spans="2:20" x14ac:dyDescent="0.25">
      <c r="G2" s="1" t="s">
        <v>0</v>
      </c>
      <c r="H2" s="1" t="s">
        <v>4</v>
      </c>
      <c r="I2" s="1" t="s">
        <v>1</v>
      </c>
      <c r="J2" s="4" t="s">
        <v>7</v>
      </c>
      <c r="S2">
        <f>100</f>
        <v>100</v>
      </c>
      <c r="T2">
        <f>24*60*60</f>
        <v>86400</v>
      </c>
    </row>
    <row r="3" spans="2:20" x14ac:dyDescent="0.25">
      <c r="B3" s="1" t="s">
        <v>0</v>
      </c>
      <c r="C3" s="1" t="s">
        <v>4</v>
      </c>
      <c r="D3" s="1" t="s">
        <v>1</v>
      </c>
      <c r="E3" s="4" t="s">
        <v>7</v>
      </c>
      <c r="G3" s="2">
        <v>2020</v>
      </c>
      <c r="H3" s="3">
        <v>0</v>
      </c>
      <c r="I3" s="3">
        <v>0.68379999999999996</v>
      </c>
      <c r="J3">
        <f>H3/$D$1</f>
        <v>0</v>
      </c>
      <c r="M3" t="s">
        <v>3</v>
      </c>
      <c r="T3">
        <f>S2*T2</f>
        <v>8640000</v>
      </c>
    </row>
    <row r="4" spans="2:20" x14ac:dyDescent="0.25">
      <c r="B4" s="2">
        <v>2020</v>
      </c>
      <c r="C4" s="3">
        <v>0</v>
      </c>
      <c r="D4" s="3">
        <v>0.7107</v>
      </c>
      <c r="E4">
        <f>C4/$D$1</f>
        <v>0</v>
      </c>
      <c r="G4" s="2">
        <v>2020</v>
      </c>
      <c r="H4" s="3">
        <v>10</v>
      </c>
      <c r="I4" s="3">
        <v>0.66590000000000005</v>
      </c>
      <c r="J4">
        <f t="shared" ref="J4:J10" si="0">H4/$D$1</f>
        <v>0.1</v>
      </c>
    </row>
    <row r="5" spans="2:20" x14ac:dyDescent="0.25">
      <c r="B5" s="2">
        <v>2020</v>
      </c>
      <c r="C5" s="3">
        <v>10</v>
      </c>
      <c r="D5" s="3">
        <v>0.65010000000000001</v>
      </c>
      <c r="E5">
        <f t="shared" ref="E5:E11" si="1">C5/$D$1</f>
        <v>0.1</v>
      </c>
      <c r="G5" s="2">
        <v>2020</v>
      </c>
      <c r="H5" s="3">
        <v>20</v>
      </c>
      <c r="I5" s="3">
        <v>0.63570000000000004</v>
      </c>
      <c r="J5">
        <f t="shared" si="0"/>
        <v>0.2</v>
      </c>
      <c r="M5" s="1" t="s">
        <v>0</v>
      </c>
      <c r="N5" s="1" t="s">
        <v>1</v>
      </c>
      <c r="O5" s="1" t="s">
        <v>2</v>
      </c>
      <c r="P5" s="4" t="s">
        <v>8</v>
      </c>
    </row>
    <row r="6" spans="2:20" x14ac:dyDescent="0.25">
      <c r="B6" s="2">
        <v>2020</v>
      </c>
      <c r="C6" s="3">
        <v>20</v>
      </c>
      <c r="D6" s="3">
        <v>0.62209999999999999</v>
      </c>
      <c r="E6">
        <f t="shared" si="1"/>
        <v>0.2</v>
      </c>
      <c r="G6" s="2">
        <v>2020</v>
      </c>
      <c r="H6" s="3">
        <v>40</v>
      </c>
      <c r="I6" s="3">
        <v>0.60799999999999998</v>
      </c>
      <c r="J6">
        <f t="shared" si="0"/>
        <v>0.4</v>
      </c>
      <c r="M6" s="2">
        <v>2020</v>
      </c>
      <c r="N6" s="3">
        <v>0.68400000000000005</v>
      </c>
      <c r="O6" s="3">
        <v>2.29</v>
      </c>
      <c r="P6">
        <f>O6/$T$3</f>
        <v>2.6504629629629633E-7</v>
      </c>
    </row>
    <row r="7" spans="2:20" x14ac:dyDescent="0.25">
      <c r="B7" s="2">
        <v>2020</v>
      </c>
      <c r="C7" s="3">
        <v>40</v>
      </c>
      <c r="D7" s="3">
        <v>0.59640000000000004</v>
      </c>
      <c r="E7">
        <f t="shared" si="1"/>
        <v>0.4</v>
      </c>
      <c r="G7" s="2">
        <v>2020</v>
      </c>
      <c r="H7" s="3">
        <v>80</v>
      </c>
      <c r="I7" s="3">
        <v>0.58789999999999998</v>
      </c>
      <c r="J7">
        <f t="shared" si="0"/>
        <v>0.8</v>
      </c>
      <c r="M7" s="2">
        <v>2020</v>
      </c>
      <c r="N7" s="3">
        <v>0.67700000000000005</v>
      </c>
      <c r="O7" s="3">
        <v>4.8</v>
      </c>
      <c r="P7">
        <f t="shared" ref="P7:P20" si="2">O7/$T$3</f>
        <v>5.5555555555555552E-7</v>
      </c>
    </row>
    <row r="8" spans="2:20" x14ac:dyDescent="0.25">
      <c r="B8" s="2">
        <v>2020</v>
      </c>
      <c r="C8" s="3">
        <v>80</v>
      </c>
      <c r="D8" s="3">
        <v>0.57389999999999997</v>
      </c>
      <c r="E8">
        <f t="shared" si="1"/>
        <v>0.8</v>
      </c>
      <c r="G8" s="2">
        <v>2020</v>
      </c>
      <c r="H8" s="3">
        <v>120</v>
      </c>
      <c r="I8" s="3">
        <v>0.57350000000000001</v>
      </c>
      <c r="J8">
        <f t="shared" si="0"/>
        <v>1.2</v>
      </c>
      <c r="M8" s="2">
        <v>2020</v>
      </c>
      <c r="N8" s="3">
        <v>0.66600000000000004</v>
      </c>
      <c r="O8" s="3">
        <v>2.39</v>
      </c>
      <c r="P8">
        <f t="shared" si="2"/>
        <v>2.7662037037037036E-7</v>
      </c>
    </row>
    <row r="9" spans="2:20" x14ac:dyDescent="0.25">
      <c r="B9" s="2">
        <v>2020</v>
      </c>
      <c r="C9" s="3">
        <v>120</v>
      </c>
      <c r="D9" s="3">
        <v>0.56359999999999999</v>
      </c>
      <c r="E9">
        <f t="shared" si="1"/>
        <v>1.2</v>
      </c>
      <c r="G9" s="2">
        <v>2020</v>
      </c>
      <c r="H9" s="3">
        <v>160</v>
      </c>
      <c r="I9" s="3">
        <v>0.56310000000000004</v>
      </c>
      <c r="J9">
        <f t="shared" si="0"/>
        <v>1.6</v>
      </c>
      <c r="M9" s="2">
        <v>2020</v>
      </c>
      <c r="N9" s="3">
        <v>0.65500000000000003</v>
      </c>
      <c r="O9" s="3">
        <v>1.54</v>
      </c>
      <c r="P9">
        <f t="shared" si="2"/>
        <v>1.7824074074074074E-7</v>
      </c>
    </row>
    <row r="10" spans="2:20" x14ac:dyDescent="0.25">
      <c r="B10" s="2">
        <v>2020</v>
      </c>
      <c r="C10" s="3">
        <v>160</v>
      </c>
      <c r="D10" s="3">
        <v>0.55500000000000005</v>
      </c>
      <c r="E10">
        <f t="shared" si="1"/>
        <v>1.6</v>
      </c>
      <c r="G10" s="2">
        <v>2020</v>
      </c>
      <c r="H10" s="3">
        <v>200</v>
      </c>
      <c r="I10" s="3">
        <v>0.55430000000000001</v>
      </c>
      <c r="J10">
        <f t="shared" si="0"/>
        <v>2</v>
      </c>
      <c r="M10" s="2">
        <v>2020</v>
      </c>
      <c r="N10" s="3">
        <v>0.63300000000000001</v>
      </c>
      <c r="O10" s="3">
        <v>0.96</v>
      </c>
      <c r="P10">
        <f t="shared" si="2"/>
        <v>1.1111111111111111E-7</v>
      </c>
    </row>
    <row r="11" spans="2:20" x14ac:dyDescent="0.25">
      <c r="B11" s="2">
        <v>2020</v>
      </c>
      <c r="C11" s="3">
        <v>200</v>
      </c>
      <c r="D11" s="3">
        <v>0.55430000000000001</v>
      </c>
      <c r="E11">
        <f t="shared" si="1"/>
        <v>2</v>
      </c>
      <c r="M11" s="2">
        <v>2020</v>
      </c>
      <c r="N11" s="3">
        <v>0.622</v>
      </c>
      <c r="O11" s="3">
        <v>0.59</v>
      </c>
      <c r="P11">
        <f t="shared" si="2"/>
        <v>6.8287037037037028E-8</v>
      </c>
    </row>
    <row r="12" spans="2:20" x14ac:dyDescent="0.25">
      <c r="M12" s="2">
        <v>2020</v>
      </c>
      <c r="N12" s="3">
        <v>0.61399999999999999</v>
      </c>
      <c r="O12" s="3">
        <v>0.34</v>
      </c>
      <c r="P12">
        <f t="shared" si="2"/>
        <v>3.9351851851851853E-8</v>
      </c>
    </row>
    <row r="13" spans="2:20" x14ac:dyDescent="0.25">
      <c r="M13" s="2">
        <v>2020</v>
      </c>
      <c r="N13" s="3">
        <v>0.61199999999999999</v>
      </c>
      <c r="O13" s="3">
        <v>0.2</v>
      </c>
      <c r="P13">
        <f t="shared" si="2"/>
        <v>2.3148148148148151E-8</v>
      </c>
    </row>
    <row r="14" spans="2:20" x14ac:dyDescent="0.25">
      <c r="M14" s="2">
        <v>2020</v>
      </c>
      <c r="N14" s="3">
        <v>0.60799999999999998</v>
      </c>
      <c r="O14" s="3">
        <v>0.16</v>
      </c>
      <c r="P14">
        <f t="shared" si="2"/>
        <v>1.8518518518518518E-8</v>
      </c>
    </row>
    <row r="15" spans="2:20" x14ac:dyDescent="0.25">
      <c r="M15" s="2">
        <v>2020</v>
      </c>
      <c r="N15" s="3">
        <v>0.60299999999999998</v>
      </c>
      <c r="O15" s="3">
        <v>0.18</v>
      </c>
      <c r="P15">
        <f t="shared" si="2"/>
        <v>2.0833333333333331E-8</v>
      </c>
    </row>
    <row r="16" spans="2:20" x14ac:dyDescent="0.25">
      <c r="M16" s="2">
        <v>2020</v>
      </c>
      <c r="N16" s="3">
        <v>0.59799999999999998</v>
      </c>
      <c r="O16" s="3">
        <v>7.0000000000000007E-2</v>
      </c>
      <c r="P16">
        <f t="shared" si="2"/>
        <v>8.1018518518518525E-9</v>
      </c>
    </row>
    <row r="17" spans="13:16" x14ac:dyDescent="0.25">
      <c r="M17" s="2">
        <v>2020</v>
      </c>
      <c r="N17" s="3">
        <v>0.59499999999999997</v>
      </c>
      <c r="O17" s="3">
        <v>0.17</v>
      </c>
      <c r="P17">
        <f t="shared" si="2"/>
        <v>1.9675925925925926E-8</v>
      </c>
    </row>
    <row r="18" spans="13:16" x14ac:dyDescent="0.25">
      <c r="M18" s="2">
        <v>2020</v>
      </c>
      <c r="N18" s="3">
        <v>0.59299999999999997</v>
      </c>
      <c r="O18" s="3">
        <v>0.15</v>
      </c>
      <c r="P18">
        <f t="shared" si="2"/>
        <v>1.736111111111111E-8</v>
      </c>
    </row>
    <row r="19" spans="13:16" x14ac:dyDescent="0.25">
      <c r="M19" s="2">
        <v>2020</v>
      </c>
      <c r="N19" s="3">
        <v>0.59</v>
      </c>
      <c r="O19" s="3">
        <v>0.18</v>
      </c>
      <c r="P19">
        <f t="shared" si="2"/>
        <v>2.0833333333333331E-8</v>
      </c>
    </row>
    <row r="20" spans="13:16" x14ac:dyDescent="0.25">
      <c r="M20" s="2">
        <v>2020</v>
      </c>
      <c r="N20" s="3">
        <v>0.58899999999999997</v>
      </c>
      <c r="O20" s="3">
        <v>0.15</v>
      </c>
      <c r="P20">
        <f t="shared" si="2"/>
        <v>1.736111111111111E-8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2015-06-05T18:17:20Z</dcterms:created>
  <dcterms:modified xsi:type="dcterms:W3CDTF">2026-07-20T13:23:04Z</dcterms:modified>
</cp:coreProperties>
</file>